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3" autoFilterDateGrouping="1"/>
  </bookViews>
  <sheets>
    <sheet name="янв" sheetId="1" state="visible" r:id="rId1"/>
    <sheet name="фев" sheetId="2" state="visible" r:id="rId2"/>
    <sheet name="мар" sheetId="3" state="visible" r:id="rId3"/>
    <sheet name="I кв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Liberation Sans"/>
      <color theme="1"/>
      <sz val="11"/>
      <scheme val="minor"/>
    </font>
    <font>
      <name val="PT Astra Serif"/>
      <b val="1"/>
      <sz val="10"/>
    </font>
    <font>
      <name val="PT Astra Serif"/>
      <sz val="10"/>
    </font>
    <font>
      <name val="PT Astra Serif"/>
      <color theme="1"/>
      <sz val="10"/>
    </font>
    <font>
      <name val="PT Astra Serif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2"/>
        <bgColor theme="2"/>
      </patternFill>
    </fill>
    <fill>
      <patternFill patternType="solid">
        <fgColor indexed="5"/>
        <bgColor indexed="5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left" vertical="center" wrapText="1"/>
    </xf>
    <xf numFmtId="4" fontId="1" fillId="0" borderId="2" applyAlignment="1" pivotButton="0" quotePrefix="0" xfId="0">
      <alignment horizontal="center" vertical="center" wrapText="1"/>
    </xf>
    <xf numFmtId="3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top" wrapText="1"/>
    </xf>
    <xf numFmtId="3" fontId="3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left" vertical="center" wrapText="1"/>
    </xf>
    <xf numFmtId="4" fontId="1" fillId="5" borderId="1" applyAlignment="1" pivotButton="0" quotePrefix="0" xfId="0">
      <alignment horizontal="center" vertical="center" wrapText="1"/>
    </xf>
    <xf numFmtId="4" fontId="2" fillId="5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center" vertical="center"/>
    </xf>
    <xf numFmtId="4" fontId="1" fillId="5" borderId="1" applyAlignment="1" pivotButton="0" quotePrefix="0" xfId="0">
      <alignment horizontal="center" vertical="center"/>
    </xf>
    <xf numFmtId="4" fontId="1" fillId="6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3" fillId="5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2" borderId="1" applyAlignment="1" pivotButton="0" quotePrefix="0" xfId="0">
      <alignment horizontal="center" vertical="center"/>
    </xf>
    <xf numFmtId="3" fontId="2" fillId="0" borderId="2" applyAlignment="1" applyProtection="1" pivotButton="0" quotePrefix="0" xfId="0">
      <alignment horizontal="center" vertical="center"/>
      <protection locked="0" hidden="0"/>
    </xf>
    <xf numFmtId="0" fontId="3" fillId="0" borderId="2" applyAlignment="1" applyProtection="1" pivotButton="0" quotePrefix="0" xfId="0">
      <alignment horizontal="center" vertical="center"/>
      <protection locked="0" hidden="0"/>
    </xf>
    <xf numFmtId="1" fontId="2" fillId="2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4" fontId="2" fillId="2" borderId="1" applyAlignment="1" applyProtection="1" pivotButton="0" quotePrefix="0" xfId="0">
      <alignment horizontal="center" vertical="center"/>
      <protection locked="0" hidden="0"/>
    </xf>
    <xf numFmtId="4" fontId="3" fillId="0" borderId="1" applyAlignment="1" applyProtection="1" pivotButton="0" quotePrefix="0" xfId="0">
      <alignment horizontal="center" vertical="center"/>
      <protection locked="0" hidden="0"/>
    </xf>
    <xf numFmtId="3" fontId="3" fillId="0" borderId="1" applyAlignment="1" applyProtection="1" pivotButton="0" quotePrefix="0" xfId="0">
      <alignment horizontal="center" vertical="center"/>
      <protection locked="0" hidden="0"/>
    </xf>
    <xf numFmtId="2" fontId="3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4" fontId="2" fillId="0" borderId="1" applyAlignment="1" applyProtection="1" pivotButton="0" quotePrefix="0" xfId="0">
      <alignment horizontal="center" vertical="center"/>
      <protection locked="0" hidden="0"/>
    </xf>
    <xf numFmtId="3" fontId="2" fillId="0" borderId="1" applyAlignment="1" applyProtection="1" pivotButton="0" quotePrefix="0" xfId="0">
      <alignment horizontal="center" vertical="center"/>
      <protection locked="0" hidden="0"/>
    </xf>
    <xf numFmtId="2" fontId="3" fillId="2" borderId="1" applyAlignment="1" applyProtection="1" pivotButton="0" quotePrefix="0" xfId="0">
      <alignment horizontal="center" vertical="center"/>
      <protection locked="0" hidden="0"/>
    </xf>
    <xf numFmtId="4" fontId="3" fillId="2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1" fontId="2" fillId="0" borderId="1" applyAlignment="1" applyProtection="1" pivotButton="0" quotePrefix="0" xfId="0">
      <alignment horizontal="center" vertical="center"/>
      <protection locked="0" hidden="0"/>
    </xf>
    <xf numFmtId="0" fontId="3" fillId="7" borderId="1" applyAlignment="1" applyProtection="1" pivotButton="0" quotePrefix="0" xfId="0">
      <alignment horizontal="center" vertical="center"/>
      <protection locked="0" hidden="0"/>
    </xf>
    <xf numFmtId="4" fontId="1" fillId="0" borderId="3" applyAlignment="1" pivotButton="0" quotePrefix="0" xfId="0">
      <alignment horizontal="left" vertical="center" wrapText="1"/>
    </xf>
    <xf numFmtId="4" fontId="1" fillId="0" borderId="4" applyAlignment="1" pivotButton="0" quotePrefix="0" xfId="0">
      <alignment horizontal="left" vertical="center" wrapText="1"/>
    </xf>
    <xf numFmtId="4" fontId="1" fillId="0" borderId="2" applyAlignment="1" pivotButton="0" quotePrefix="0" xfId="0">
      <alignment horizontal="left" vertical="center" wrapText="1"/>
    </xf>
    <xf numFmtId="1" fontId="1" fillId="0" borderId="3" applyAlignment="1" pivotButton="0" quotePrefix="0" xfId="0">
      <alignment horizontal="left" vertical="center"/>
    </xf>
    <xf numFmtId="1" fontId="1" fillId="0" borderId="4" applyAlignment="1" pivotButton="0" quotePrefix="0" xfId="0">
      <alignment horizontal="left" vertical="center"/>
    </xf>
    <xf numFmtId="1" fontId="1" fillId="0" borderId="2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2" pivotButton="0" quotePrefix="0" xfId="0"/>
    <xf numFmtId="1" fontId="1" fillId="0" borderId="1" applyAlignment="1" pivotButton="0" quotePrefix="0" xfId="0">
      <alignment horizontal="left" vertical="center"/>
    </xf>
  </cellXfs>
  <cellStyles count="1">
    <cellStyle name="Обычный" xfId="0" builtinId="0"/>
  </cellStyles>
  <dxfs count="3">
    <dxf>
      <fill>
        <patternFill patternType="solid">
          <fgColor theme="5" tint="0.7999816888943144"/>
          <bgColor theme="5" tint="0.7999816888943144"/>
        </patternFill>
      </fill>
    </dxf>
    <dxf>
      <fill>
        <patternFill patternType="solid">
          <fgColor theme="5" tint="0.7999816888943144"/>
          <bgColor theme="5" tint="0.7999816888943144"/>
        </patternFill>
      </fill>
    </dxf>
    <dxf>
      <fill>
        <patternFill patternType="solid">
          <fgColor theme="5" tint="0.7999816888943144"/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topLeftCell="A28" workbookViewId="0">
      <selection activeCell="E41" sqref="E41"/>
    </sheetView>
  </sheetViews>
  <sheetFormatPr baseColWidth="8" defaultRowHeight="14.25"/>
  <cols>
    <col width="25.75" bestFit="1" customWidth="1" min="1" max="1"/>
    <col width="11.125" customWidth="1" min="3" max="11"/>
    <col width="11.625" bestFit="1" customWidth="1" min="12" max="12"/>
  </cols>
  <sheetData>
    <row r="1" ht="38.25" customHeight="1">
      <c r="A1" s="1" t="inlineStr">
        <is>
          <t>месяц</t>
        </is>
      </c>
      <c r="B1" s="1" t="inlineStr">
        <is>
          <t>ед.изм</t>
        </is>
      </c>
      <c r="C1" s="1" t="inlineStr">
        <is>
          <t>Кравец Е.А. (САО)</t>
        </is>
      </c>
      <c r="D1" s="1" t="inlineStr">
        <is>
          <t>Лощинина М.А. (САО)</t>
        </is>
      </c>
      <c r="E1" s="2" t="inlineStr">
        <is>
          <t>Павлова Ю.В.
(КАО)</t>
        </is>
      </c>
      <c r="F1" s="1" t="inlineStr">
        <is>
          <t>Кель М.В. (КАО)</t>
        </is>
      </c>
      <c r="G1" s="1" t="inlineStr">
        <is>
          <t>Епанчинцева Ю.Н.  (ЦАО)</t>
        </is>
      </c>
      <c r="H1" s="1" t="inlineStr">
        <is>
          <t>Колонтаева А.Н. (ОАО)</t>
        </is>
      </c>
      <c r="I1" s="1" t="inlineStr">
        <is>
          <t>Барныч Г.М. (ОАО)</t>
        </is>
      </c>
      <c r="J1" s="1" t="inlineStr">
        <is>
          <t>Колонтаева А.Н. (ЛАО)</t>
        </is>
      </c>
      <c r="K1" s="1" t="inlineStr">
        <is>
          <t>Барныч Г.М. (ЛАО)</t>
        </is>
      </c>
      <c r="L1" s="3" t="inlineStr">
        <is>
          <t>Итого</t>
        </is>
      </c>
    </row>
    <row r="2">
      <c r="A2" s="4" t="inlineStr">
        <is>
          <t>Принято участие в с/з, беседах</t>
        </is>
      </c>
      <c r="B2" s="5" t="inlineStr">
        <is>
          <t>к-во</t>
        </is>
      </c>
      <c r="C2" s="6" t="n">
        <v>26</v>
      </c>
      <c r="D2" s="7" t="n">
        <v>20</v>
      </c>
      <c r="E2" s="7" t="n">
        <v>13</v>
      </c>
      <c r="F2" s="7" t="n">
        <v>0</v>
      </c>
      <c r="G2" s="7" t="n">
        <v>39</v>
      </c>
      <c r="H2" s="7" t="n">
        <v>16</v>
      </c>
      <c r="I2" s="7" t="n">
        <v>0</v>
      </c>
      <c r="J2" s="7" t="n">
        <v>2</v>
      </c>
      <c r="K2" s="7" t="n">
        <v>0</v>
      </c>
      <c r="L2" s="8">
        <f>SUM(C2:K2)</f>
        <v/>
      </c>
    </row>
    <row r="3">
      <c r="A3" s="4" t="inlineStr">
        <is>
          <t>Предъявлено заявлений о вынесении судебного приказа</t>
        </is>
      </c>
      <c r="B3" s="9" t="inlineStr">
        <is>
          <t>к-во</t>
        </is>
      </c>
      <c r="C3" s="10" t="n">
        <v>0</v>
      </c>
      <c r="D3" s="11" t="n">
        <v>56</v>
      </c>
      <c r="E3" s="11" t="n">
        <v>0</v>
      </c>
      <c r="F3" s="11" t="n">
        <v>0</v>
      </c>
      <c r="G3" s="11" t="n">
        <v>0</v>
      </c>
      <c r="H3" s="11" t="n">
        <v>109</v>
      </c>
      <c r="I3" s="11" t="n">
        <v>17</v>
      </c>
      <c r="J3" s="11" t="n">
        <v>29</v>
      </c>
      <c r="K3" s="11" t="n">
        <v>13</v>
      </c>
      <c r="L3" s="8">
        <f>SUM(C3:K3)</f>
        <v/>
      </c>
    </row>
    <row r="4">
      <c r="A4" s="67" t="n"/>
      <c r="B4" s="9" t="inlineStr">
        <is>
          <t>долг</t>
        </is>
      </c>
      <c r="C4" s="12" t="n">
        <v>0</v>
      </c>
      <c r="D4" s="13" t="n">
        <v>3307299.37</v>
      </c>
      <c r="E4" s="12" t="n">
        <v>0</v>
      </c>
      <c r="F4" s="12" t="n">
        <v>0</v>
      </c>
      <c r="G4" s="12" t="n">
        <v>0</v>
      </c>
      <c r="H4" s="13" t="n">
        <v>4978328.69</v>
      </c>
      <c r="I4" s="13" t="n">
        <v>1276914.61</v>
      </c>
      <c r="J4" s="13" t="n">
        <v>2179254.43</v>
      </c>
      <c r="K4" s="13" t="n">
        <v>694116.38</v>
      </c>
      <c r="L4" s="14">
        <f>SUM(C4:K4)</f>
        <v/>
      </c>
    </row>
    <row r="5">
      <c r="A5" s="67" t="n"/>
      <c r="B5" s="9" t="inlineStr">
        <is>
          <t>пени</t>
        </is>
      </c>
      <c r="C5" s="12" t="n">
        <v>0</v>
      </c>
      <c r="D5" s="13" t="n">
        <v>2014260.28</v>
      </c>
      <c r="E5" s="12" t="n">
        <v>0</v>
      </c>
      <c r="F5" s="12" t="n">
        <v>0</v>
      </c>
      <c r="G5" s="12" t="n">
        <v>0</v>
      </c>
      <c r="H5" s="13" t="n">
        <v>2392019.52</v>
      </c>
      <c r="I5" s="13" t="n">
        <v>1027867.9</v>
      </c>
      <c r="J5" s="13" t="n">
        <v>1700102.61</v>
      </c>
      <c r="K5" s="13" t="n">
        <v>997931.3</v>
      </c>
      <c r="L5" s="14">
        <f>SUM(C5:K5)</f>
        <v/>
      </c>
    </row>
    <row r="6">
      <c r="A6" s="68" t="n"/>
      <c r="B6" s="15" t="inlineStr">
        <is>
          <t>г/п</t>
        </is>
      </c>
      <c r="C6" s="12" t="n">
        <v>0</v>
      </c>
      <c r="D6" s="13" t="n">
        <v>112000</v>
      </c>
      <c r="E6" s="12" t="n">
        <v>0</v>
      </c>
      <c r="F6" s="12" t="n">
        <v>0</v>
      </c>
      <c r="G6" s="12" t="n">
        <v>0</v>
      </c>
      <c r="H6" s="13" t="n">
        <v>220699</v>
      </c>
      <c r="I6" s="13" t="n">
        <v>45406</v>
      </c>
      <c r="J6" s="13" t="n">
        <v>73640</v>
      </c>
      <c r="K6" s="13" t="n">
        <v>37409</v>
      </c>
      <c r="L6" s="14">
        <f>SUM(C6:K6)</f>
        <v/>
      </c>
    </row>
    <row r="7">
      <c r="A7" s="4" t="inlineStr">
        <is>
          <t>Удовлетворено в пользу АО "Омск РТС" заявлений о вынесении судебных приказов</t>
        </is>
      </c>
      <c r="B7" s="9" t="inlineStr">
        <is>
          <t xml:space="preserve"> к-во </t>
        </is>
      </c>
      <c r="C7" s="16" t="n">
        <v>0</v>
      </c>
      <c r="D7" s="11" t="n">
        <v>44</v>
      </c>
      <c r="E7" s="16" t="n">
        <v>0</v>
      </c>
      <c r="F7" s="16" t="n">
        <v>0</v>
      </c>
      <c r="G7" s="11" t="n">
        <v>0</v>
      </c>
      <c r="H7" s="11" t="n">
        <v>100</v>
      </c>
      <c r="I7" s="11" t="n">
        <v>0</v>
      </c>
      <c r="J7" s="11" t="n">
        <v>0</v>
      </c>
      <c r="K7" s="11" t="n">
        <v>0</v>
      </c>
      <c r="L7" s="8">
        <f>SUM(C7:K7)</f>
        <v/>
      </c>
    </row>
    <row r="8">
      <c r="A8" s="67" t="n"/>
      <c r="B8" s="9" t="inlineStr">
        <is>
          <t>долг</t>
        </is>
      </c>
      <c r="C8" s="12" t="n">
        <v>0</v>
      </c>
      <c r="D8" s="13" t="n">
        <v>2875139.13</v>
      </c>
      <c r="E8" s="12" t="n">
        <v>0</v>
      </c>
      <c r="F8" s="12" t="n">
        <v>0</v>
      </c>
      <c r="G8" s="12" t="n">
        <v>0</v>
      </c>
      <c r="H8" s="13" t="n">
        <v>5701679</v>
      </c>
      <c r="I8" s="12" t="n">
        <v>0</v>
      </c>
      <c r="J8" s="12" t="n">
        <v>0</v>
      </c>
      <c r="K8" s="12" t="n">
        <v>0</v>
      </c>
      <c r="L8" s="14">
        <f>SUM(C8:K8)</f>
        <v/>
      </c>
    </row>
    <row r="9">
      <c r="A9" s="67" t="n"/>
      <c r="B9" s="9" t="inlineStr">
        <is>
          <t>пени</t>
        </is>
      </c>
      <c r="C9" s="12" t="n">
        <v>0</v>
      </c>
      <c r="D9" s="13" t="n">
        <v>2348987.02</v>
      </c>
      <c r="E9" s="12" t="n">
        <v>0</v>
      </c>
      <c r="F9" s="12" t="n">
        <v>0</v>
      </c>
      <c r="G9" s="12" t="n">
        <v>0</v>
      </c>
      <c r="H9" s="13" t="n">
        <v>2091678</v>
      </c>
      <c r="I9" s="12" t="n">
        <v>0</v>
      </c>
      <c r="J9" s="12" t="n">
        <v>0</v>
      </c>
      <c r="K9" s="12" t="n">
        <v>0</v>
      </c>
      <c r="L9" s="14">
        <f>SUM(C9:K9)</f>
        <v/>
      </c>
    </row>
    <row r="10">
      <c r="A10" s="68" t="n"/>
      <c r="B10" s="15" t="inlineStr">
        <is>
          <t>г/п</t>
        </is>
      </c>
      <c r="C10" s="12" t="n">
        <v>0</v>
      </c>
      <c r="D10" s="13" t="n">
        <v>92357</v>
      </c>
      <c r="E10" s="12" t="n">
        <v>0</v>
      </c>
      <c r="F10" s="12" t="n">
        <v>0</v>
      </c>
      <c r="G10" s="12" t="n">
        <v>0</v>
      </c>
      <c r="H10" s="13" t="n">
        <v>101098</v>
      </c>
      <c r="I10" s="12" t="n">
        <v>0</v>
      </c>
      <c r="J10" s="12" t="n">
        <v>0</v>
      </c>
      <c r="K10" s="12" t="n">
        <v>0</v>
      </c>
      <c r="L10" s="14">
        <f>SUM(C10:K10)</f>
        <v/>
      </c>
    </row>
    <row r="11">
      <c r="A11" s="4" t="inlineStr">
        <is>
          <t>Заявления нах-ся в стадии рассмотрения</t>
        </is>
      </c>
      <c r="B11" s="9" t="inlineStr">
        <is>
          <t xml:space="preserve">к-во </t>
        </is>
      </c>
      <c r="C11" s="10" t="n">
        <v>48</v>
      </c>
      <c r="D11" s="11" t="n">
        <v>0</v>
      </c>
      <c r="E11" s="17" t="n">
        <v>1237</v>
      </c>
      <c r="F11" s="17" t="n">
        <v>1122</v>
      </c>
      <c r="G11" s="17" t="n">
        <v>1026</v>
      </c>
      <c r="H11" s="11" t="n">
        <v>156</v>
      </c>
      <c r="I11" s="11" t="n">
        <v>17</v>
      </c>
      <c r="J11" s="11" t="n">
        <v>103</v>
      </c>
      <c r="K11" s="11" t="n">
        <v>13</v>
      </c>
      <c r="L11" s="8">
        <f>SUM(C11:K11)</f>
        <v/>
      </c>
    </row>
    <row r="12">
      <c r="A12" s="67" t="n"/>
      <c r="B12" s="9" t="inlineStr">
        <is>
          <t>долг</t>
        </is>
      </c>
      <c r="C12" s="12" t="n">
        <v>4574321.12</v>
      </c>
      <c r="D12" s="12" t="n">
        <v>0</v>
      </c>
      <c r="E12" s="13" t="n">
        <v>50519904.09</v>
      </c>
      <c r="F12" s="13" t="n">
        <v>50132433.04</v>
      </c>
      <c r="G12" s="13" t="n">
        <v>62379092.25</v>
      </c>
      <c r="H12" s="13" t="n">
        <v>6205103.46</v>
      </c>
      <c r="I12" s="13" t="n">
        <v>1276914.61</v>
      </c>
      <c r="J12" s="13" t="n">
        <v>8074440.27</v>
      </c>
      <c r="K12" s="13" t="n">
        <v>694116.38</v>
      </c>
      <c r="L12" s="14">
        <f>SUM(C12:K12)</f>
        <v/>
      </c>
    </row>
    <row r="13">
      <c r="A13" s="67" t="n"/>
      <c r="B13" s="9" t="inlineStr">
        <is>
          <t>пени</t>
        </is>
      </c>
      <c r="C13" s="12" t="n">
        <v>4003002.18</v>
      </c>
      <c r="D13" s="12" t="n">
        <v>0</v>
      </c>
      <c r="E13" s="13" t="n">
        <v>32835594.54</v>
      </c>
      <c r="F13" s="13" t="n">
        <v>54806916.18</v>
      </c>
      <c r="G13" s="13" t="n">
        <v>49793435.6</v>
      </c>
      <c r="H13" s="13" t="n">
        <v>5343103.16</v>
      </c>
      <c r="I13" s="13" t="n">
        <v>1027867.9</v>
      </c>
      <c r="J13" s="13" t="n">
        <v>9017322.23</v>
      </c>
      <c r="K13" s="13" t="n">
        <v>997931.3</v>
      </c>
      <c r="L13" s="14">
        <f>SUM(C13:K13)</f>
        <v/>
      </c>
    </row>
    <row r="14">
      <c r="A14" s="68" t="n"/>
      <c r="B14" s="15" t="inlineStr">
        <is>
          <t>г/п</t>
        </is>
      </c>
      <c r="C14" s="12" t="n">
        <v>243826</v>
      </c>
      <c r="D14" s="12" t="n">
        <v>0</v>
      </c>
      <c r="E14" s="13" t="n">
        <v>3911723.71</v>
      </c>
      <c r="F14" s="13" t="n">
        <v>60280408.01</v>
      </c>
      <c r="G14" s="13" t="n">
        <v>1844901.34</v>
      </c>
      <c r="H14" s="13" t="n">
        <v>197886</v>
      </c>
      <c r="I14" s="13" t="n">
        <v>45406</v>
      </c>
      <c r="J14" s="13" t="n">
        <v>336400</v>
      </c>
      <c r="K14" s="13" t="n">
        <v>37409</v>
      </c>
      <c r="L14" s="14">
        <f>SUM(C14:K14)</f>
        <v/>
      </c>
    </row>
    <row r="15">
      <c r="A15" s="4" t="inlineStr">
        <is>
          <t>Получено исполнительных документов</t>
        </is>
      </c>
      <c r="B15" s="9" t="inlineStr">
        <is>
          <t xml:space="preserve"> к-во </t>
        </is>
      </c>
      <c r="C15" s="18" t="n">
        <v>0</v>
      </c>
      <c r="D15" s="11" t="n">
        <v>0</v>
      </c>
      <c r="E15" s="18" t="n">
        <v>0</v>
      </c>
      <c r="F15" s="18" t="n">
        <v>0</v>
      </c>
      <c r="G15" s="11" t="n">
        <v>0</v>
      </c>
      <c r="H15" s="11" t="n">
        <v>88</v>
      </c>
      <c r="I15" s="11" t="n">
        <v>0</v>
      </c>
      <c r="J15" s="11" t="n">
        <v>0</v>
      </c>
      <c r="K15" s="11" t="n">
        <v>0</v>
      </c>
      <c r="L15" s="8">
        <f>SUM(C15:K15)</f>
        <v/>
      </c>
    </row>
    <row r="16">
      <c r="A16" s="67" t="n"/>
      <c r="B16" s="9" t="inlineStr">
        <is>
          <t>долг</t>
        </is>
      </c>
      <c r="C16" s="19" t="n">
        <v>0</v>
      </c>
      <c r="D16" s="12" t="n">
        <v>0</v>
      </c>
      <c r="E16" s="19" t="n">
        <v>0</v>
      </c>
      <c r="F16" s="19" t="n">
        <v>0</v>
      </c>
      <c r="G16" s="12" t="n">
        <v>0</v>
      </c>
      <c r="H16" s="13" t="n">
        <v>2252245.26</v>
      </c>
      <c r="I16" s="12" t="n">
        <v>0</v>
      </c>
      <c r="J16" s="12" t="n">
        <v>0</v>
      </c>
      <c r="K16" s="12" t="n">
        <v>0</v>
      </c>
      <c r="L16" s="14">
        <f>SUM(C16:K16)</f>
        <v/>
      </c>
    </row>
    <row r="17">
      <c r="A17" s="67" t="n"/>
      <c r="B17" s="9" t="inlineStr">
        <is>
          <t>пени</t>
        </is>
      </c>
      <c r="C17" s="19" t="n">
        <v>0</v>
      </c>
      <c r="D17" s="12" t="n">
        <v>0</v>
      </c>
      <c r="E17" s="19" t="n">
        <v>0</v>
      </c>
      <c r="F17" s="19" t="n">
        <v>0</v>
      </c>
      <c r="G17" s="12" t="n">
        <v>0</v>
      </c>
      <c r="H17" s="13" t="n">
        <v>1769469.57</v>
      </c>
      <c r="I17" s="12" t="n">
        <v>0</v>
      </c>
      <c r="J17" s="12" t="n">
        <v>0</v>
      </c>
      <c r="K17" s="12" t="n">
        <v>0</v>
      </c>
      <c r="L17" s="14">
        <f>SUM(C17:K17)</f>
        <v/>
      </c>
    </row>
    <row r="18">
      <c r="A18" s="68" t="n"/>
      <c r="B18" s="15" t="inlineStr">
        <is>
          <t>г/п</t>
        </is>
      </c>
      <c r="C18" s="19" t="n">
        <v>0</v>
      </c>
      <c r="D18" s="12" t="n">
        <v>0</v>
      </c>
      <c r="E18" s="19" t="n">
        <v>0</v>
      </c>
      <c r="F18" s="19" t="n">
        <v>0</v>
      </c>
      <c r="G18" s="12" t="n">
        <v>0</v>
      </c>
      <c r="H18" s="13" t="n">
        <v>140931.59</v>
      </c>
      <c r="I18" s="12" t="n">
        <v>0</v>
      </c>
      <c r="J18" s="12" t="n">
        <v>0</v>
      </c>
      <c r="K18" s="12" t="n">
        <v>0</v>
      </c>
      <c r="L18" s="14">
        <f>SUM(C18:K18)</f>
        <v/>
      </c>
    </row>
    <row r="19">
      <c r="A19" s="4" t="inlineStr">
        <is>
          <t>Отказ от иска в связи с оплатой долга</t>
        </is>
      </c>
      <c r="B19" s="15" t="inlineStr">
        <is>
          <t>к-во</t>
        </is>
      </c>
      <c r="C19" s="20" t="n">
        <v>0</v>
      </c>
      <c r="D19" s="11" t="n">
        <v>0</v>
      </c>
      <c r="E19" s="20" t="n">
        <v>0</v>
      </c>
      <c r="F19" s="20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8">
        <f>SUM(C19:K19)</f>
        <v/>
      </c>
    </row>
    <row r="20">
      <c r="A20" s="67" t="n"/>
      <c r="B20" s="9" t="inlineStr">
        <is>
          <t>долг</t>
        </is>
      </c>
      <c r="C20" s="19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21" t="n">
        <v>0</v>
      </c>
    </row>
    <row r="21">
      <c r="A21" s="68" t="n"/>
      <c r="B21" s="9" t="inlineStr">
        <is>
          <t>пени</t>
        </is>
      </c>
      <c r="C21" s="19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21" t="n">
        <v>0</v>
      </c>
    </row>
    <row r="22">
      <c r="A22" s="4" t="inlineStr">
        <is>
          <t>Направлено исполнительных документов в УФССП, ПФ РФ, Сбербанк РФ</t>
        </is>
      </c>
      <c r="B22" s="15" t="inlineStr">
        <is>
          <t>к-во/р.с</t>
        </is>
      </c>
      <c r="C22" s="20" t="n">
        <v>0</v>
      </c>
      <c r="D22" s="11" t="n">
        <v>0</v>
      </c>
      <c r="E22" s="20" t="n">
        <v>0</v>
      </c>
      <c r="F22" s="20" t="n">
        <v>0</v>
      </c>
      <c r="G22" s="11" t="n">
        <v>0</v>
      </c>
      <c r="H22" s="11" t="inlineStr">
        <is>
          <t>88/55</t>
        </is>
      </c>
      <c r="I22" s="11" t="n">
        <v>0</v>
      </c>
      <c r="J22" s="11" t="n">
        <v>0</v>
      </c>
      <c r="K22" s="11" t="n">
        <v>0</v>
      </c>
      <c r="L22" s="22" t="inlineStr">
        <is>
          <t>88/55</t>
        </is>
      </c>
    </row>
    <row r="23">
      <c r="A23" s="67" t="n"/>
      <c r="B23" s="9" t="inlineStr">
        <is>
          <t>долг</t>
        </is>
      </c>
      <c r="C23" s="19" t="n">
        <v>0</v>
      </c>
      <c r="D23" s="19" t="n">
        <v>0</v>
      </c>
      <c r="E23" s="19" t="n">
        <v>0</v>
      </c>
      <c r="F23" s="19" t="n">
        <v>0</v>
      </c>
      <c r="G23" s="19" t="n">
        <v>0</v>
      </c>
      <c r="H23" s="13" t="n">
        <v>2252245.26</v>
      </c>
      <c r="I23" s="19" t="n">
        <v>0</v>
      </c>
      <c r="J23" s="19" t="n">
        <v>0</v>
      </c>
      <c r="K23" s="19" t="n">
        <v>0</v>
      </c>
      <c r="L23" s="14">
        <f>SUM(C23:K23)</f>
        <v/>
      </c>
    </row>
    <row r="24">
      <c r="A24" s="67" t="n"/>
      <c r="B24" s="9" t="inlineStr">
        <is>
          <t>пени</t>
        </is>
      </c>
      <c r="C24" s="19" t="n">
        <v>0</v>
      </c>
      <c r="D24" s="19" t="n">
        <v>0</v>
      </c>
      <c r="E24" s="19" t="n">
        <v>0</v>
      </c>
      <c r="F24" s="19" t="n">
        <v>0</v>
      </c>
      <c r="G24" s="19" t="n">
        <v>0</v>
      </c>
      <c r="H24" s="13" t="n">
        <v>1769469.57</v>
      </c>
      <c r="I24" s="19" t="n">
        <v>0</v>
      </c>
      <c r="J24" s="19" t="n">
        <v>0</v>
      </c>
      <c r="K24" s="19" t="n">
        <v>0</v>
      </c>
      <c r="L24" s="14">
        <f>SUM(C24:K24)</f>
        <v/>
      </c>
    </row>
    <row r="25">
      <c r="A25" s="68" t="n"/>
      <c r="B25" s="15" t="inlineStr">
        <is>
          <t>г/п</t>
        </is>
      </c>
      <c r="C25" s="19" t="n">
        <v>0</v>
      </c>
      <c r="D25" s="19" t="n">
        <v>0</v>
      </c>
      <c r="E25" s="19" t="n">
        <v>0</v>
      </c>
      <c r="F25" s="19" t="n">
        <v>0</v>
      </c>
      <c r="G25" s="19" t="n">
        <v>0</v>
      </c>
      <c r="H25" s="13" t="n">
        <v>140931.59</v>
      </c>
      <c r="I25" s="19" t="n">
        <v>0</v>
      </c>
      <c r="J25" s="19" t="n">
        <v>0</v>
      </c>
      <c r="K25" s="19" t="n">
        <v>0</v>
      </c>
      <c r="L25" s="14">
        <f>SUM(C25:K25)</f>
        <v/>
      </c>
    </row>
    <row r="26">
      <c r="A26" s="4" t="inlineStr">
        <is>
          <t>Оплачено   г/п (по физ.лицам)</t>
        </is>
      </c>
      <c r="B26" s="15" t="inlineStr">
        <is>
          <t>сумма</t>
        </is>
      </c>
      <c r="C26" s="12" t="n">
        <v>0</v>
      </c>
      <c r="D26" s="19" t="n">
        <v>0</v>
      </c>
      <c r="E26" s="12" t="n">
        <v>0</v>
      </c>
      <c r="F26" s="12" t="n">
        <v>0</v>
      </c>
      <c r="G26" s="19" t="n">
        <v>0</v>
      </c>
      <c r="H26" s="23" t="n">
        <v>20000</v>
      </c>
      <c r="I26" s="19" t="n">
        <v>0</v>
      </c>
      <c r="J26" s="23" t="n">
        <v>320178</v>
      </c>
      <c r="K26" s="19" t="n">
        <v>0</v>
      </c>
      <c r="L26" s="14">
        <f>SUM(C26:K26)</f>
        <v/>
      </c>
    </row>
    <row r="27">
      <c r="A27" s="4" t="inlineStr">
        <is>
          <t>Применен судом срок исковой давности</t>
        </is>
      </c>
      <c r="B27" s="15" t="inlineStr">
        <is>
          <t>к-во</t>
        </is>
      </c>
      <c r="C27" s="24" t="n">
        <v>62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8">
        <f>SUM(C27:K27)</f>
        <v/>
      </c>
    </row>
    <row r="28">
      <c r="A28" s="68" t="n"/>
      <c r="B28" s="15" t="inlineStr">
        <is>
          <t>сумма</t>
        </is>
      </c>
      <c r="C28" s="12" t="n">
        <v>1445538.25</v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4">
        <f>SUM(C28:K28)</f>
        <v/>
      </c>
    </row>
    <row r="29">
      <c r="A29" s="4" t="inlineStr">
        <is>
          <t xml:space="preserve">Возвращено ден. ср. через ССП (сумма) </t>
        </is>
      </c>
      <c r="B29" s="9" t="inlineStr">
        <is>
          <t>долг</t>
        </is>
      </c>
      <c r="C29" s="12" t="n">
        <v>736953.34</v>
      </c>
      <c r="D29" s="19" t="n">
        <v>0</v>
      </c>
      <c r="E29" s="23" t="n">
        <v>191852.94</v>
      </c>
      <c r="F29" s="19" t="n">
        <v>0</v>
      </c>
      <c r="G29" s="23" t="n">
        <v>773517.42</v>
      </c>
      <c r="H29" s="23" t="n">
        <v>613200.89</v>
      </c>
      <c r="I29" s="19" t="n">
        <v>0</v>
      </c>
      <c r="J29" s="23" t="n">
        <v>39208.99</v>
      </c>
      <c r="K29" s="19" t="n">
        <v>0</v>
      </c>
      <c r="L29" s="14">
        <f>SUM(C29:K29)</f>
        <v/>
      </c>
    </row>
    <row r="30">
      <c r="A30" s="68" t="n"/>
      <c r="B30" s="9" t="inlineStr">
        <is>
          <t>пени</t>
        </is>
      </c>
      <c r="C30" s="12" t="n">
        <v>261072.99</v>
      </c>
      <c r="D30" s="19" t="n">
        <v>0</v>
      </c>
      <c r="E30" s="23" t="n">
        <v>190254.62</v>
      </c>
      <c r="F30" s="19" t="n">
        <v>0</v>
      </c>
      <c r="G30" s="23" t="n">
        <v>165911.58</v>
      </c>
      <c r="H30" s="23" t="n">
        <v>139585.69</v>
      </c>
      <c r="I30" s="19" t="n">
        <v>0</v>
      </c>
      <c r="J30" s="25" t="n">
        <v>206.22</v>
      </c>
      <c r="K30" s="19" t="n">
        <v>0</v>
      </c>
      <c r="L30" s="14">
        <f>SUM(C30:K30)</f>
        <v/>
      </c>
    </row>
    <row r="31" ht="38.25" customHeight="1">
      <c r="A31" s="26" t="inlineStr">
        <is>
          <t xml:space="preserve">Возвращено ден. ср. через Сбербанк и Пенсионный  (сумма) </t>
        </is>
      </c>
      <c r="B31" s="9" t="inlineStr">
        <is>
          <t>долг</t>
        </is>
      </c>
      <c r="C31" s="12" t="n">
        <v>1059851.08</v>
      </c>
      <c r="D31" s="19" t="n">
        <v>0</v>
      </c>
      <c r="E31" s="23" t="n">
        <v>928002.47</v>
      </c>
      <c r="F31" s="19" t="n">
        <v>0</v>
      </c>
      <c r="G31" s="23" t="n">
        <v>1043977.28</v>
      </c>
      <c r="H31" s="27" t="n">
        <v>1011164</v>
      </c>
      <c r="I31" s="19" t="n">
        <v>0</v>
      </c>
      <c r="J31" s="23" t="n">
        <v>16518.38</v>
      </c>
      <c r="K31" s="19" t="n">
        <v>0</v>
      </c>
      <c r="L31" s="14">
        <f>SUM(C31:K31)</f>
        <v/>
      </c>
    </row>
    <row r="32">
      <c r="A32" s="69" t="inlineStr">
        <is>
          <t>Предъявлено исковых заявлений</t>
        </is>
      </c>
      <c r="B32" s="9" t="inlineStr">
        <is>
          <t>к-во</t>
        </is>
      </c>
      <c r="C32" s="18" t="n">
        <v>12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1</v>
      </c>
      <c r="K32" s="11" t="n">
        <v>0</v>
      </c>
      <c r="L32" s="8">
        <f>SUM(C32:K32)</f>
        <v/>
      </c>
    </row>
    <row r="33">
      <c r="A33" s="67" t="n"/>
      <c r="B33" s="9" t="inlineStr">
        <is>
          <t>долг</t>
        </is>
      </c>
      <c r="C33" s="19" t="n">
        <v>534255.4</v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3" t="n">
        <v>87533.03</v>
      </c>
      <c r="K33" s="19" t="n">
        <v>0</v>
      </c>
      <c r="L33" s="14">
        <f>SUM(C33:K33)</f>
        <v/>
      </c>
    </row>
    <row r="34">
      <c r="A34" s="67" t="n"/>
      <c r="B34" s="9" t="inlineStr">
        <is>
          <t>пени</t>
        </is>
      </c>
      <c r="C34" s="19" t="n">
        <v>748211.25</v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3" t="n">
        <v>19866.63</v>
      </c>
      <c r="K34" s="19" t="n">
        <v>0</v>
      </c>
      <c r="L34" s="14">
        <f>SUM(C34:K34)</f>
        <v/>
      </c>
    </row>
    <row r="35">
      <c r="A35" s="68" t="n"/>
      <c r="B35" s="15" t="inlineStr">
        <is>
          <t>г/п</t>
        </is>
      </c>
      <c r="C35" s="19" t="n">
        <v>28000</v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3" t="n">
        <v>4222</v>
      </c>
      <c r="K35" s="19" t="n">
        <v>0</v>
      </c>
      <c r="L35" s="14">
        <f>SUM(C35:K35)</f>
        <v/>
      </c>
    </row>
    <row r="36">
      <c r="A36" s="4" t="inlineStr">
        <is>
          <t>Удовлетворено в пользу АО "Омск РТС" исковых заявлений</t>
        </is>
      </c>
      <c r="B36" s="9" t="inlineStr">
        <is>
          <t xml:space="preserve"> к-во </t>
        </is>
      </c>
      <c r="C36" s="28" t="n">
        <v>0</v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8</v>
      </c>
      <c r="I36" s="11" t="n">
        <v>0</v>
      </c>
      <c r="J36" s="11" t="n">
        <v>0</v>
      </c>
      <c r="K36" s="11" t="n">
        <v>0</v>
      </c>
      <c r="L36" s="8">
        <f>SUM(C36:K36)</f>
        <v/>
      </c>
    </row>
    <row r="37">
      <c r="A37" s="67" t="n"/>
      <c r="B37" s="9" t="inlineStr">
        <is>
          <t>долг</t>
        </is>
      </c>
      <c r="C37" s="19" t="n">
        <v>0</v>
      </c>
      <c r="D37" s="19" t="n">
        <v>0</v>
      </c>
      <c r="E37" s="19" t="n">
        <v>0</v>
      </c>
      <c r="F37" s="19" t="n">
        <v>0</v>
      </c>
      <c r="G37" s="19" t="n">
        <v>0</v>
      </c>
      <c r="H37" s="13" t="n">
        <v>480703.7</v>
      </c>
      <c r="I37" s="19" t="n">
        <v>0</v>
      </c>
      <c r="J37" s="19" t="n">
        <v>0</v>
      </c>
      <c r="K37" s="19" t="n">
        <v>0</v>
      </c>
      <c r="L37" s="14">
        <f>SUM(C37:K37)</f>
        <v/>
      </c>
    </row>
    <row r="38">
      <c r="A38" s="67" t="n"/>
      <c r="B38" s="9" t="inlineStr">
        <is>
          <t>пени</t>
        </is>
      </c>
      <c r="C38" s="19" t="n">
        <v>0</v>
      </c>
      <c r="D38" s="19" t="n">
        <v>0</v>
      </c>
      <c r="E38" s="19" t="n">
        <v>0</v>
      </c>
      <c r="F38" s="19" t="n">
        <v>0</v>
      </c>
      <c r="G38" s="19" t="n">
        <v>0</v>
      </c>
      <c r="H38" s="13" t="n">
        <v>344397.02</v>
      </c>
      <c r="I38" s="19" t="n">
        <v>0</v>
      </c>
      <c r="J38" s="19" t="n">
        <v>0</v>
      </c>
      <c r="K38" s="19" t="n">
        <v>0</v>
      </c>
      <c r="L38" s="14">
        <f>SUM(C38:K38)</f>
        <v/>
      </c>
    </row>
    <row r="39">
      <c r="A39" s="68" t="n"/>
      <c r="B39" s="15" t="inlineStr">
        <is>
          <t>г/п</t>
        </is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3" t="n">
        <v>40714</v>
      </c>
      <c r="I39" s="19" t="n">
        <v>0</v>
      </c>
      <c r="J39" s="19" t="n">
        <v>0</v>
      </c>
      <c r="K39" s="19" t="n">
        <v>0</v>
      </c>
      <c r="L39" s="14">
        <f>SUM(C39:K39)</f>
        <v/>
      </c>
    </row>
    <row r="40" ht="25.5" customHeight="1">
      <c r="A40" s="4" t="inlineStr">
        <is>
          <t>Подготовка правового заключения о списании ДЗ</t>
        </is>
      </c>
      <c r="B40" s="9" t="inlineStr">
        <is>
          <t xml:space="preserve"> к-во </t>
        </is>
      </c>
      <c r="C40" s="24" t="n">
        <v>2</v>
      </c>
      <c r="D40" s="25" t="n">
        <v>0</v>
      </c>
      <c r="E40" s="25" t="n">
        <v>2</v>
      </c>
      <c r="F40" s="25" t="n">
        <v>0</v>
      </c>
      <c r="G40" s="25" t="n">
        <v>0</v>
      </c>
      <c r="H40" s="25" t="n">
        <v>1</v>
      </c>
      <c r="I40" s="25" t="n">
        <v>0</v>
      </c>
      <c r="J40" s="25" t="n">
        <v>0</v>
      </c>
      <c r="K40" s="25" t="n">
        <v>0</v>
      </c>
      <c r="L40" s="8">
        <f>SUM(C40:K40)</f>
        <v/>
      </c>
    </row>
    <row r="41" ht="25.5" customHeight="1">
      <c r="A41" s="4" t="inlineStr">
        <is>
          <t>Выдача документов в ССП, в СБ РФ</t>
        </is>
      </c>
      <c r="B41" s="9" t="inlineStr">
        <is>
          <t xml:space="preserve"> к-во </t>
        </is>
      </c>
      <c r="C41" s="29" t="n">
        <v>8</v>
      </c>
      <c r="D41" s="30" t="n">
        <v>13</v>
      </c>
      <c r="E41" s="30" t="n">
        <v>7</v>
      </c>
      <c r="F41" s="30" t="n">
        <v>1</v>
      </c>
      <c r="G41" s="30" t="n">
        <v>0</v>
      </c>
      <c r="H41" s="30" t="n">
        <v>10</v>
      </c>
      <c r="I41" s="30" t="n">
        <v>0</v>
      </c>
      <c r="J41" s="30" t="n">
        <v>0</v>
      </c>
      <c r="K41" s="30" t="n">
        <v>0</v>
      </c>
      <c r="L41" s="8">
        <f>SUM(C41:K41)</f>
        <v/>
      </c>
    </row>
    <row r="42">
      <c r="A42" s="4" t="inlineStr">
        <is>
          <t>Отмена судебного приказа</t>
        </is>
      </c>
      <c r="B42" s="9" t="inlineStr">
        <is>
          <t xml:space="preserve"> к-во </t>
        </is>
      </c>
      <c r="C42" s="31" t="n">
        <v>18</v>
      </c>
      <c r="D42" s="30" t="n">
        <v>0</v>
      </c>
      <c r="E42" s="30" t="n">
        <v>29</v>
      </c>
      <c r="F42" s="30" t="n">
        <v>0</v>
      </c>
      <c r="G42" s="30" t="n">
        <v>0</v>
      </c>
      <c r="H42" s="30" t="n">
        <v>20</v>
      </c>
      <c r="I42" s="30" t="n">
        <v>0</v>
      </c>
      <c r="J42" s="30" t="n">
        <v>5</v>
      </c>
      <c r="K42" s="30" t="n">
        <v>0</v>
      </c>
      <c r="L42" s="8">
        <f>SUM(C42:K42)</f>
        <v/>
      </c>
    </row>
    <row r="43">
      <c r="A43" s="67" t="n"/>
      <c r="B43" s="9" t="inlineStr">
        <is>
          <t>долг</t>
        </is>
      </c>
      <c r="C43" s="32" t="n">
        <v>1068651.56</v>
      </c>
      <c r="D43" s="32" t="n">
        <v>0</v>
      </c>
      <c r="E43" s="33" t="n">
        <v>1183276.78</v>
      </c>
      <c r="F43" s="32" t="n">
        <v>0</v>
      </c>
      <c r="G43" s="33" t="n">
        <v>0</v>
      </c>
      <c r="H43" s="33" t="n">
        <v>1006286.09</v>
      </c>
      <c r="I43" s="32" t="n">
        <v>0</v>
      </c>
      <c r="J43" s="33" t="n">
        <v>504396.1</v>
      </c>
      <c r="K43" s="32" t="n">
        <v>0</v>
      </c>
      <c r="L43" s="14">
        <f>SUM(C43:K43)</f>
        <v/>
      </c>
    </row>
    <row r="44">
      <c r="A44" s="67" t="n"/>
      <c r="B44" s="9" t="inlineStr">
        <is>
          <t>пени</t>
        </is>
      </c>
      <c r="C44" s="32" t="n">
        <v>1123651.56</v>
      </c>
      <c r="D44" s="32" t="n">
        <v>0</v>
      </c>
      <c r="E44" s="33" t="n">
        <v>907509.73</v>
      </c>
      <c r="F44" s="32" t="n">
        <v>0</v>
      </c>
      <c r="G44" s="33" t="n">
        <v>0</v>
      </c>
      <c r="H44" s="33" t="n">
        <v>630102.1</v>
      </c>
      <c r="I44" s="32" t="n">
        <v>0</v>
      </c>
      <c r="J44" s="33" t="n">
        <v>476050.25</v>
      </c>
      <c r="K44" s="32" t="n">
        <v>0</v>
      </c>
      <c r="L44" s="14">
        <f>SUM(C44:K44)</f>
        <v/>
      </c>
    </row>
    <row r="45">
      <c r="A45" s="68" t="n"/>
      <c r="B45" s="15" t="inlineStr">
        <is>
          <t>г/п</t>
        </is>
      </c>
      <c r="C45" s="32" t="n">
        <v>96348</v>
      </c>
      <c r="D45" s="32" t="n">
        <v>0</v>
      </c>
      <c r="E45" s="33" t="n">
        <v>52889.66</v>
      </c>
      <c r="F45" s="32" t="n">
        <v>0</v>
      </c>
      <c r="G45" s="33" t="n">
        <v>0</v>
      </c>
      <c r="H45" s="33" t="n">
        <v>43022</v>
      </c>
      <c r="I45" s="32" t="n">
        <v>0</v>
      </c>
      <c r="J45" s="33" t="n">
        <v>21426</v>
      </c>
      <c r="K45" s="32" t="n">
        <v>0</v>
      </c>
      <c r="L45" s="14">
        <f>SUM(C45:K45)</f>
        <v/>
      </c>
    </row>
    <row r="46" ht="25.5" customHeight="1">
      <c r="A46" s="34" t="inlineStr">
        <is>
          <t xml:space="preserve">Возвращено ден. ср. через ССП (сумма) </t>
        </is>
      </c>
      <c r="B46" s="35" t="inlineStr">
        <is>
          <t>Итого</t>
        </is>
      </c>
      <c r="C46" s="36">
        <f>C29+C30</f>
        <v/>
      </c>
      <c r="D46" s="36">
        <f>D29+D30</f>
        <v/>
      </c>
      <c r="E46" s="36">
        <f>E29+E30</f>
        <v/>
      </c>
      <c r="F46" s="36">
        <f>F29+F30</f>
        <v/>
      </c>
      <c r="G46" s="36">
        <f>G29+G30</f>
        <v/>
      </c>
      <c r="H46" s="36">
        <f>H29+H30</f>
        <v/>
      </c>
      <c r="I46" s="36" t="n">
        <v>0</v>
      </c>
      <c r="J46" s="37" t="n">
        <v>39415.21</v>
      </c>
      <c r="K46" s="37" t="n">
        <v>0</v>
      </c>
      <c r="L46" s="14">
        <f>SUM(C46:K46)</f>
        <v/>
      </c>
    </row>
    <row r="47">
      <c r="A47" s="34" t="inlineStr">
        <is>
          <t>Итого возвращено</t>
        </is>
      </c>
      <c r="B47" s="35" t="inlineStr">
        <is>
          <t>сумма</t>
        </is>
      </c>
      <c r="C47" s="38">
        <f>SUM(C29:C31)</f>
        <v/>
      </c>
      <c r="D47" s="38">
        <f>SUM(D29:D31)</f>
        <v/>
      </c>
      <c r="E47" s="38">
        <f>SUM(E29:E31)</f>
        <v/>
      </c>
      <c r="F47" s="38">
        <f>SUM(F29:F31)</f>
        <v/>
      </c>
      <c r="G47" s="38">
        <f>SUM(G29:G31)</f>
        <v/>
      </c>
      <c r="H47" s="38">
        <f>SUM(H29:H31)</f>
        <v/>
      </c>
      <c r="I47" s="38" t="n">
        <v>0</v>
      </c>
      <c r="J47" s="39" t="n">
        <v>55933.59</v>
      </c>
      <c r="K47" s="39" t="n">
        <v>0</v>
      </c>
      <c r="L47" s="14">
        <f>SUM(C47:K47)</f>
        <v/>
      </c>
    </row>
  </sheetData>
  <mergeCells count="11">
    <mergeCell ref="A32:A35"/>
    <mergeCell ref="A36:A39"/>
    <mergeCell ref="A27:A28"/>
    <mergeCell ref="A7:A10"/>
    <mergeCell ref="A42:A45"/>
    <mergeCell ref="A29:A30"/>
    <mergeCell ref="A3:A6"/>
    <mergeCell ref="A19:A21"/>
    <mergeCell ref="A11:A14"/>
    <mergeCell ref="A15:A18"/>
    <mergeCell ref="A22:A25"/>
  </mergeCells>
  <conditionalFormatting sqref="C2:K45">
    <cfRule type="expression" priority="1" dxfId="0">
      <formula>ISTEXT(C2)</formula>
    </cfRule>
  </conditionalFormatting>
  <pageMargins left="0.7007874015748032" right="0.7007874015748032" top="0.7519685039370078" bottom="0.7519685039370078" header="0.3" footer="0.3"/>
  <pageSetup orientation="landscape" paperSize="9" scale="64" useFirstPageNumber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7"/>
  <sheetViews>
    <sheetView topLeftCell="A4" workbookViewId="0">
      <selection activeCell="E46" sqref="E46"/>
    </sheetView>
  </sheetViews>
  <sheetFormatPr baseColWidth="8" defaultRowHeight="14.25"/>
  <cols>
    <col width="25.75" bestFit="1" customWidth="1" min="1" max="1"/>
    <col width="11.125" customWidth="1" min="3" max="11"/>
    <col width="11.625" bestFit="1" customWidth="1" min="12" max="12"/>
  </cols>
  <sheetData>
    <row r="1" ht="38.25" customHeight="1">
      <c r="A1" s="1" t="inlineStr">
        <is>
          <t>месяц</t>
        </is>
      </c>
      <c r="B1" s="1" t="inlineStr">
        <is>
          <t>ед.изм</t>
        </is>
      </c>
      <c r="C1" s="1" t="inlineStr">
        <is>
          <t>Кравец Е.А. (САО)</t>
        </is>
      </c>
      <c r="D1" s="1" t="inlineStr">
        <is>
          <t>Лощинина М.А. (САО)</t>
        </is>
      </c>
      <c r="E1" s="2" t="inlineStr">
        <is>
          <t>Павлова Ю.В.
(КАО)</t>
        </is>
      </c>
      <c r="F1" s="1" t="inlineStr">
        <is>
          <t>Кель М.В. (КАО)</t>
        </is>
      </c>
      <c r="G1" s="1" t="inlineStr">
        <is>
          <t>Епанчинцева Ю.Н.  (ЦАО)</t>
        </is>
      </c>
      <c r="H1" s="1" t="inlineStr">
        <is>
          <t>Колонтаева А.Н. (ОАО)</t>
        </is>
      </c>
      <c r="I1" s="1" t="inlineStr">
        <is>
          <t>Барныч Г.М. (ОАО)</t>
        </is>
      </c>
      <c r="J1" s="1" t="inlineStr">
        <is>
          <t>Колонтаева А.Н. (ЛАО)</t>
        </is>
      </c>
      <c r="K1" s="1" t="inlineStr">
        <is>
          <t>Барныч Г.М. (ЛАО)</t>
        </is>
      </c>
      <c r="L1" s="40" t="inlineStr">
        <is>
          <t>Итого</t>
        </is>
      </c>
      <c r="M1" s="41" t="n"/>
    </row>
    <row r="2">
      <c r="A2" s="4" t="inlineStr">
        <is>
          <t>Принято участие в с/з, беседах</t>
        </is>
      </c>
      <c r="B2" s="5" t="inlineStr">
        <is>
          <t>к-во</t>
        </is>
      </c>
      <c r="C2" s="6" t="n">
        <v>8</v>
      </c>
      <c r="D2" s="7" t="n">
        <v>15</v>
      </c>
      <c r="E2" s="7" t="n">
        <v>26</v>
      </c>
      <c r="F2" s="7" t="n">
        <v>2</v>
      </c>
      <c r="G2" s="7" t="n">
        <v>42</v>
      </c>
      <c r="H2" s="7" t="n">
        <v>39</v>
      </c>
      <c r="I2" s="7" t="n">
        <v>0</v>
      </c>
      <c r="J2" s="7" t="n">
        <v>2</v>
      </c>
      <c r="K2" s="7" t="n">
        <v>0</v>
      </c>
      <c r="L2" s="42">
        <f>SUM(C2:K2)</f>
        <v/>
      </c>
      <c r="M2" s="41" t="n"/>
    </row>
    <row r="3">
      <c r="A3" s="4" t="inlineStr">
        <is>
          <t>Предъявлено заявлений о вынесении судебного приказа</t>
        </is>
      </c>
      <c r="B3" s="9" t="inlineStr">
        <is>
          <t>к-во</t>
        </is>
      </c>
      <c r="C3" s="10" t="n">
        <v>0</v>
      </c>
      <c r="D3" s="11" t="n">
        <v>71</v>
      </c>
      <c r="E3" s="10" t="n">
        <v>0</v>
      </c>
      <c r="F3" s="11" t="n">
        <v>72</v>
      </c>
      <c r="G3" s="11" t="n">
        <v>0</v>
      </c>
      <c r="H3" s="11" t="n">
        <v>0</v>
      </c>
      <c r="I3" s="11" t="n">
        <v>150</v>
      </c>
      <c r="J3" s="11" t="n">
        <v>0</v>
      </c>
      <c r="K3" s="11" t="n">
        <v>50</v>
      </c>
      <c r="L3" s="42">
        <f>SUM(C3:K3)</f>
        <v/>
      </c>
      <c r="M3" s="41" t="n"/>
    </row>
    <row r="4">
      <c r="A4" s="67" t="n"/>
      <c r="B4" s="9" t="inlineStr">
        <is>
          <t>долг</t>
        </is>
      </c>
      <c r="C4" s="12" t="n">
        <v>0</v>
      </c>
      <c r="D4" s="13" t="n">
        <v>7996754.55</v>
      </c>
      <c r="E4" s="12" t="n">
        <v>0</v>
      </c>
      <c r="F4" s="13" t="n">
        <v>4674483.14</v>
      </c>
      <c r="G4" s="12" t="n">
        <v>0</v>
      </c>
      <c r="H4" s="13" t="n">
        <v>0</v>
      </c>
      <c r="I4" s="13" t="n">
        <v>8142383.33</v>
      </c>
      <c r="J4" s="43" t="n">
        <v>0</v>
      </c>
      <c r="K4" s="13" t="n">
        <v>3271442.1</v>
      </c>
      <c r="L4" s="36">
        <f>SUM(C4:K4)</f>
        <v/>
      </c>
      <c r="M4" s="41" t="n"/>
    </row>
    <row r="5">
      <c r="A5" s="67" t="n"/>
      <c r="B5" s="9" t="inlineStr">
        <is>
          <t>пени</t>
        </is>
      </c>
      <c r="C5" s="12" t="n">
        <v>0</v>
      </c>
      <c r="D5" s="13" t="n">
        <v>3821651.42</v>
      </c>
      <c r="E5" s="12" t="n">
        <v>0</v>
      </c>
      <c r="F5" s="13" t="n">
        <v>4247249.84</v>
      </c>
      <c r="G5" s="12" t="n">
        <v>0</v>
      </c>
      <c r="H5" s="13" t="n">
        <v>0</v>
      </c>
      <c r="I5" s="13" t="n">
        <v>4866486.55</v>
      </c>
      <c r="J5" s="43" t="n">
        <v>0</v>
      </c>
      <c r="K5" s="13" t="n">
        <v>2430417.04</v>
      </c>
      <c r="L5" s="36">
        <f>SUM(C5:K5)</f>
        <v/>
      </c>
      <c r="M5" s="41" t="n"/>
    </row>
    <row r="6">
      <c r="A6" s="68" t="n"/>
      <c r="B6" s="15" t="inlineStr">
        <is>
          <t>г/п</t>
        </is>
      </c>
      <c r="C6" s="12" t="n">
        <v>0</v>
      </c>
      <c r="D6" s="13" t="n">
        <v>173651</v>
      </c>
      <c r="E6" s="12" t="n">
        <v>0</v>
      </c>
      <c r="F6" s="13" t="n">
        <v>189459</v>
      </c>
      <c r="G6" s="12" t="n">
        <v>0</v>
      </c>
      <c r="H6" s="13" t="n">
        <v>0</v>
      </c>
      <c r="I6" s="13" t="n">
        <v>322879</v>
      </c>
      <c r="J6" s="43" t="n">
        <v>0</v>
      </c>
      <c r="K6" s="13" t="n">
        <v>77514</v>
      </c>
      <c r="L6" s="36">
        <f>SUM(C6:K6)</f>
        <v/>
      </c>
      <c r="M6" s="41" t="n"/>
    </row>
    <row r="7">
      <c r="A7" s="4" t="inlineStr">
        <is>
          <t>Удовлетворено в пользу АО "Омск РТС" заявлений о вынесении судебных приказов</t>
        </is>
      </c>
      <c r="B7" s="9" t="inlineStr">
        <is>
          <t xml:space="preserve"> к-во </t>
        </is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30</v>
      </c>
      <c r="H7" s="11" t="n">
        <v>0</v>
      </c>
      <c r="I7" s="11" t="n">
        <v>0</v>
      </c>
      <c r="J7" s="11" t="n">
        <v>0</v>
      </c>
      <c r="K7" s="11" t="n">
        <v>0</v>
      </c>
      <c r="L7" s="42">
        <f>SUM(C7:K7)</f>
        <v/>
      </c>
      <c r="M7" s="41" t="n"/>
    </row>
    <row r="8">
      <c r="A8" s="67" t="n"/>
      <c r="B8" s="9" t="inlineStr">
        <is>
          <t>долг</t>
        </is>
      </c>
      <c r="C8" s="12" t="n">
        <v>0</v>
      </c>
      <c r="D8" s="12" t="n">
        <v>0</v>
      </c>
      <c r="E8" s="12" t="n">
        <v>0</v>
      </c>
      <c r="F8" s="12" t="n">
        <v>0</v>
      </c>
      <c r="G8" s="13" t="n">
        <v>1326969.21</v>
      </c>
      <c r="H8" s="13" t="n">
        <v>0</v>
      </c>
      <c r="I8" s="13" t="n">
        <v>0</v>
      </c>
      <c r="J8" s="43" t="n">
        <v>0</v>
      </c>
      <c r="K8" s="43" t="n">
        <v>0</v>
      </c>
      <c r="L8" s="36">
        <f>SUM(C8:K8)</f>
        <v/>
      </c>
      <c r="M8" s="41" t="n"/>
    </row>
    <row r="9">
      <c r="A9" s="67" t="n"/>
      <c r="B9" s="9" t="inlineStr">
        <is>
          <t>пени</t>
        </is>
      </c>
      <c r="C9" s="12" t="n">
        <v>0</v>
      </c>
      <c r="D9" s="12" t="n">
        <v>0</v>
      </c>
      <c r="E9" s="12" t="n">
        <v>0</v>
      </c>
      <c r="F9" s="12" t="n">
        <v>0</v>
      </c>
      <c r="G9" s="13" t="n">
        <v>745987.22</v>
      </c>
      <c r="H9" s="13" t="n">
        <v>0</v>
      </c>
      <c r="I9" s="13" t="n">
        <v>0</v>
      </c>
      <c r="J9" s="43" t="n">
        <v>0</v>
      </c>
      <c r="K9" s="43" t="n">
        <v>0</v>
      </c>
      <c r="L9" s="36">
        <f>SUM(C9:K9)</f>
        <v/>
      </c>
      <c r="M9" s="41" t="n"/>
    </row>
    <row r="10">
      <c r="A10" s="68" t="n"/>
      <c r="B10" s="15" t="inlineStr">
        <is>
          <t>г/п</t>
        </is>
      </c>
      <c r="C10" s="12" t="n">
        <v>0</v>
      </c>
      <c r="D10" s="12" t="n">
        <v>0</v>
      </c>
      <c r="E10" s="12" t="n">
        <v>0</v>
      </c>
      <c r="F10" s="12" t="n">
        <v>0</v>
      </c>
      <c r="G10" s="13" t="n">
        <v>74782.78999999999</v>
      </c>
      <c r="H10" s="13" t="n">
        <v>0</v>
      </c>
      <c r="I10" s="13" t="n">
        <v>0</v>
      </c>
      <c r="J10" s="43" t="n">
        <v>0</v>
      </c>
      <c r="K10" s="43" t="n">
        <v>0</v>
      </c>
      <c r="L10" s="36">
        <f>SUM(C10:K10)</f>
        <v/>
      </c>
      <c r="M10" s="41" t="n"/>
    </row>
    <row r="11">
      <c r="A11" s="4" t="inlineStr">
        <is>
          <t>Заявления нах-ся в стадии рассмотрения</t>
        </is>
      </c>
      <c r="B11" s="9" t="inlineStr">
        <is>
          <t xml:space="preserve">к-во </t>
        </is>
      </c>
      <c r="C11" s="10" t="n">
        <v>159</v>
      </c>
      <c r="D11" s="11" t="n">
        <v>0</v>
      </c>
      <c r="E11" s="17" t="n">
        <v>1287</v>
      </c>
      <c r="F11" s="17" t="n">
        <v>1194</v>
      </c>
      <c r="G11" s="11" t="n">
        <v>993</v>
      </c>
      <c r="H11" s="11" t="n">
        <v>196</v>
      </c>
      <c r="I11" s="11" t="n">
        <v>167</v>
      </c>
      <c r="J11" s="11" t="n">
        <v>102</v>
      </c>
      <c r="K11" s="11" t="n">
        <v>50</v>
      </c>
      <c r="L11" s="36">
        <f>SUM(C11:K11)</f>
        <v/>
      </c>
      <c r="M11" s="41" t="n"/>
    </row>
    <row r="12">
      <c r="A12" s="67" t="n"/>
      <c r="B12" s="9" t="inlineStr">
        <is>
          <t>долг</t>
        </is>
      </c>
      <c r="C12" s="12" t="n">
        <v>10921474.03</v>
      </c>
      <c r="D12" s="11" t="n">
        <v>0</v>
      </c>
      <c r="E12" s="13" t="n">
        <v>50519904.09</v>
      </c>
      <c r="F12" s="13" t="n">
        <v>54806916.18</v>
      </c>
      <c r="G12" s="13" t="n">
        <v>59744666.45</v>
      </c>
      <c r="H12" s="13" t="n">
        <v>8188094.89</v>
      </c>
      <c r="I12" s="13" t="n">
        <v>9419297.939999999</v>
      </c>
      <c r="J12" s="13" t="n">
        <v>8070305.56</v>
      </c>
      <c r="K12" s="13" t="n">
        <v>3271442.1</v>
      </c>
      <c r="L12" s="36">
        <f>SUM(C12:K12)</f>
        <v/>
      </c>
      <c r="M12" s="41" t="n"/>
    </row>
    <row r="13">
      <c r="A13" s="67" t="n"/>
      <c r="B13" s="9" t="inlineStr">
        <is>
          <t>пени</t>
        </is>
      </c>
      <c r="C13" s="12" t="n">
        <v>8647325.109999999</v>
      </c>
      <c r="D13" s="11" t="n">
        <v>0</v>
      </c>
      <c r="E13" s="13" t="n">
        <v>32835594.54</v>
      </c>
      <c r="F13" s="13" t="n">
        <v>32036746.21</v>
      </c>
      <c r="G13" s="13" t="n">
        <v>48487934.19</v>
      </c>
      <c r="H13" s="13" t="n">
        <v>7436732.39</v>
      </c>
      <c r="I13" s="13" t="n">
        <v>5894354.45</v>
      </c>
      <c r="J13" s="13" t="n">
        <v>9011470.529999999</v>
      </c>
      <c r="K13" s="13" t="n">
        <v>2430417.04</v>
      </c>
      <c r="L13" s="36">
        <f>SUM(C13:K13)</f>
        <v/>
      </c>
      <c r="M13" s="41" t="n"/>
    </row>
    <row r="14">
      <c r="A14" s="68" t="n"/>
      <c r="B14" s="15" t="inlineStr">
        <is>
          <t>г/п</t>
        </is>
      </c>
      <c r="C14" s="12" t="n">
        <v>507502</v>
      </c>
      <c r="D14" s="11" t="n">
        <v>0</v>
      </c>
      <c r="E14" s="13" t="n">
        <v>3911723.71</v>
      </c>
      <c r="F14" s="13" t="n">
        <v>2233417.5</v>
      </c>
      <c r="G14" s="13" t="n">
        <v>1534121.22</v>
      </c>
      <c r="H14" s="13" t="n">
        <v>381219</v>
      </c>
      <c r="I14" s="13" t="n">
        <v>368285</v>
      </c>
      <c r="J14" s="13" t="n">
        <v>332400</v>
      </c>
      <c r="K14" s="13" t="n">
        <v>77514</v>
      </c>
      <c r="L14" s="36">
        <f>SUM(C14:K14)</f>
        <v/>
      </c>
      <c r="M14" s="41" t="n"/>
    </row>
    <row r="15">
      <c r="A15" s="4" t="inlineStr">
        <is>
          <t>Получено исполнительных документов</t>
        </is>
      </c>
      <c r="B15" s="9" t="inlineStr">
        <is>
          <t xml:space="preserve"> к-во </t>
        </is>
      </c>
      <c r="C15" s="18" t="n">
        <v>0</v>
      </c>
      <c r="D15" s="11" t="n">
        <v>0</v>
      </c>
      <c r="E15" s="11" t="n">
        <v>0</v>
      </c>
      <c r="F15" s="11" t="n">
        <v>0</v>
      </c>
      <c r="G15" s="11" t="n">
        <v>55</v>
      </c>
      <c r="H15" s="11" t="n">
        <v>11</v>
      </c>
      <c r="I15" s="11" t="n">
        <v>0</v>
      </c>
      <c r="J15" s="11" t="n">
        <v>0</v>
      </c>
      <c r="K15" s="11" t="n">
        <v>0</v>
      </c>
      <c r="L15" s="42">
        <f>SUM(C15:K15)</f>
        <v/>
      </c>
      <c r="M15" s="41" t="n"/>
    </row>
    <row r="16">
      <c r="A16" s="67" t="n"/>
      <c r="B16" s="9" t="inlineStr">
        <is>
          <t>долг</t>
        </is>
      </c>
      <c r="C16" s="19" t="n">
        <v>0</v>
      </c>
      <c r="D16" s="19" t="n">
        <v>0</v>
      </c>
      <c r="E16" s="19" t="n">
        <v>0</v>
      </c>
      <c r="F16" s="19" t="n">
        <v>0</v>
      </c>
      <c r="G16" s="13" t="n">
        <v>1326969.21</v>
      </c>
      <c r="H16" s="13" t="n">
        <v>201671.02</v>
      </c>
      <c r="I16" s="43" t="n">
        <v>0</v>
      </c>
      <c r="J16" s="43" t="n">
        <v>0</v>
      </c>
      <c r="K16" s="43" t="n">
        <v>0</v>
      </c>
      <c r="L16" s="36">
        <f>SUM(C16:K16)</f>
        <v/>
      </c>
      <c r="M16" s="41" t="n"/>
    </row>
    <row r="17">
      <c r="A17" s="67" t="n"/>
      <c r="B17" s="9" t="inlineStr">
        <is>
          <t>пени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3" t="n">
        <v>745987.22</v>
      </c>
      <c r="H17" s="13" t="n">
        <v>59011</v>
      </c>
      <c r="I17" s="43" t="n">
        <v>0</v>
      </c>
      <c r="J17" s="43" t="n">
        <v>0</v>
      </c>
      <c r="K17" s="43" t="n">
        <v>0</v>
      </c>
      <c r="L17" s="36">
        <f>SUM(C17:K17)</f>
        <v/>
      </c>
      <c r="M17" s="41" t="n"/>
    </row>
    <row r="18">
      <c r="A18" s="68" t="n"/>
      <c r="B18" s="15" t="inlineStr">
        <is>
          <t>г/п</t>
        </is>
      </c>
      <c r="C18" s="19" t="n">
        <v>0</v>
      </c>
      <c r="D18" s="19" t="n">
        <v>0</v>
      </c>
      <c r="E18" s="19" t="n">
        <v>0</v>
      </c>
      <c r="F18" s="19" t="n">
        <v>0</v>
      </c>
      <c r="G18" s="13" t="n">
        <v>74782.78999999999</v>
      </c>
      <c r="H18" s="13" t="n">
        <v>22000</v>
      </c>
      <c r="I18" s="43" t="n">
        <v>0</v>
      </c>
      <c r="J18" s="43" t="n">
        <v>0</v>
      </c>
      <c r="K18" s="43" t="n">
        <v>0</v>
      </c>
      <c r="L18" s="36">
        <f>SUM(C18:K18)</f>
        <v/>
      </c>
      <c r="M18" s="41" t="n"/>
    </row>
    <row r="19">
      <c r="A19" s="4" t="inlineStr">
        <is>
          <t>Отказ от иска в связи с оплатой долга</t>
        </is>
      </c>
      <c r="B19" s="15" t="inlineStr">
        <is>
          <t>к-во</t>
        </is>
      </c>
      <c r="C19" s="20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1</v>
      </c>
      <c r="I19" s="11" t="n">
        <v>0</v>
      </c>
      <c r="J19" s="11" t="n">
        <v>0</v>
      </c>
      <c r="K19" s="11" t="n">
        <v>0</v>
      </c>
      <c r="L19" s="42">
        <f>SUM(C19:K19)</f>
        <v/>
      </c>
      <c r="M19" s="41" t="n"/>
    </row>
    <row r="20">
      <c r="A20" s="67" t="n"/>
      <c r="B20" s="9" t="inlineStr">
        <is>
          <t>долг</t>
        </is>
      </c>
      <c r="C20" s="19" t="n">
        <v>0</v>
      </c>
      <c r="D20" s="19" t="n">
        <v>0</v>
      </c>
      <c r="E20" s="19" t="n">
        <v>0</v>
      </c>
      <c r="F20" s="19" t="n">
        <v>0</v>
      </c>
      <c r="G20" s="43" t="n">
        <v>0</v>
      </c>
      <c r="H20" s="13" t="n">
        <v>1965.64</v>
      </c>
      <c r="I20" s="43" t="n">
        <v>0</v>
      </c>
      <c r="J20" s="43" t="n">
        <v>0</v>
      </c>
      <c r="K20" s="43" t="n">
        <v>0</v>
      </c>
      <c r="L20" s="36">
        <f>SUM(C20:K20)</f>
        <v/>
      </c>
      <c r="M20" s="41" t="n"/>
    </row>
    <row r="21">
      <c r="A21" s="68" t="n"/>
      <c r="B21" s="9" t="inlineStr">
        <is>
          <t>пени</t>
        </is>
      </c>
      <c r="C21" s="19" t="n">
        <v>0</v>
      </c>
      <c r="D21" s="19" t="n">
        <v>0</v>
      </c>
      <c r="E21" s="19" t="n">
        <v>0</v>
      </c>
      <c r="F21" s="19" t="n">
        <v>0</v>
      </c>
      <c r="G21" s="43" t="n">
        <v>0</v>
      </c>
      <c r="H21" s="13" t="n">
        <v>43474.47</v>
      </c>
      <c r="I21" s="43" t="n">
        <v>0</v>
      </c>
      <c r="J21" s="43" t="n">
        <v>0</v>
      </c>
      <c r="K21" s="43" t="n">
        <v>0</v>
      </c>
      <c r="L21" s="36">
        <f>SUM(C21:K21)</f>
        <v/>
      </c>
      <c r="M21" s="41" t="n"/>
    </row>
    <row r="22">
      <c r="A22" s="4" t="inlineStr">
        <is>
          <t>Направлено исполнительных документов в УФССП, ПФ РФ, Сбербанк РФ</t>
        </is>
      </c>
      <c r="B22" s="15" t="inlineStr">
        <is>
          <t>к-во/р.с</t>
        </is>
      </c>
      <c r="C22" s="20" t="n">
        <v>0</v>
      </c>
      <c r="D22" s="11" t="n">
        <v>0</v>
      </c>
      <c r="E22" s="11" t="n">
        <v>0</v>
      </c>
      <c r="F22" s="11" t="n">
        <v>0</v>
      </c>
      <c r="G22" s="11" t="inlineStr">
        <is>
          <t>55/30</t>
        </is>
      </c>
      <c r="H22" s="11" t="n">
        <v>0</v>
      </c>
      <c r="I22" s="11" t="n">
        <v>0</v>
      </c>
      <c r="J22" s="11" t="n">
        <v>0</v>
      </c>
      <c r="K22" s="11" t="n">
        <v>0</v>
      </c>
      <c r="L22" s="42">
        <f>SUM(C22:K22)</f>
        <v/>
      </c>
      <c r="M22" s="41" t="n"/>
    </row>
    <row r="23">
      <c r="A23" s="67" t="n"/>
      <c r="B23" s="9" t="inlineStr">
        <is>
          <t>долг</t>
        </is>
      </c>
      <c r="C23" s="19" t="n">
        <v>0</v>
      </c>
      <c r="D23" s="19" t="n">
        <v>0</v>
      </c>
      <c r="E23" s="19" t="n">
        <v>0</v>
      </c>
      <c r="F23" s="19" t="n">
        <v>0</v>
      </c>
      <c r="G23" s="13" t="n">
        <v>1326969.21</v>
      </c>
      <c r="H23" s="43" t="n">
        <v>0</v>
      </c>
      <c r="I23" s="43" t="n">
        <v>0</v>
      </c>
      <c r="J23" s="43" t="n">
        <v>0</v>
      </c>
      <c r="K23" s="43" t="n">
        <v>0</v>
      </c>
      <c r="L23" s="36">
        <f>SUM(C23:K23)</f>
        <v/>
      </c>
      <c r="M23" s="41" t="n"/>
    </row>
    <row r="24">
      <c r="A24" s="67" t="n"/>
      <c r="B24" s="9" t="inlineStr">
        <is>
          <t>пени</t>
        </is>
      </c>
      <c r="C24" s="19" t="n">
        <v>0</v>
      </c>
      <c r="D24" s="19" t="n">
        <v>0</v>
      </c>
      <c r="E24" s="19" t="n">
        <v>0</v>
      </c>
      <c r="F24" s="19" t="n">
        <v>0</v>
      </c>
      <c r="G24" s="13" t="n">
        <v>745987.22</v>
      </c>
      <c r="H24" s="43" t="n">
        <v>0</v>
      </c>
      <c r="I24" s="43" t="n">
        <v>0</v>
      </c>
      <c r="J24" s="43" t="n">
        <v>0</v>
      </c>
      <c r="K24" s="43" t="n">
        <v>0</v>
      </c>
      <c r="L24" s="36">
        <f>SUM(C24:K24)</f>
        <v/>
      </c>
      <c r="M24" s="41" t="n"/>
    </row>
    <row r="25">
      <c r="A25" s="68" t="n"/>
      <c r="B25" s="15" t="inlineStr">
        <is>
          <t>г/п</t>
        </is>
      </c>
      <c r="C25" s="19" t="n">
        <v>0</v>
      </c>
      <c r="D25" s="19" t="n">
        <v>0</v>
      </c>
      <c r="E25" s="19" t="n">
        <v>0</v>
      </c>
      <c r="F25" s="19" t="n">
        <v>0</v>
      </c>
      <c r="G25" s="13" t="n">
        <v>74782.78999999999</v>
      </c>
      <c r="H25" s="43" t="n">
        <v>0</v>
      </c>
      <c r="I25" s="43" t="n">
        <v>0</v>
      </c>
      <c r="J25" s="43" t="n">
        <v>0</v>
      </c>
      <c r="K25" s="43" t="n">
        <v>0</v>
      </c>
      <c r="L25" s="36">
        <f>SUM(C25:K25)</f>
        <v/>
      </c>
      <c r="M25" s="41" t="n"/>
    </row>
    <row r="26">
      <c r="A26" s="4" t="inlineStr">
        <is>
          <t>Оплачено   г/п (по физ.лицам)</t>
        </is>
      </c>
      <c r="B26" s="15" t="inlineStr">
        <is>
          <t>сумма</t>
        </is>
      </c>
      <c r="C26" s="12" t="n">
        <v>0</v>
      </c>
      <c r="D26" s="23" t="n">
        <v>5497</v>
      </c>
      <c r="E26" s="44" t="n">
        <v>0</v>
      </c>
      <c r="F26" s="44" t="n">
        <v>0</v>
      </c>
      <c r="G26" s="23" t="n">
        <v>0</v>
      </c>
      <c r="H26" s="23" t="n">
        <v>155208</v>
      </c>
      <c r="I26" s="23" t="n">
        <v>58094</v>
      </c>
      <c r="J26" s="44" t="n">
        <v>0</v>
      </c>
      <c r="K26" s="44" t="n">
        <v>0</v>
      </c>
      <c r="L26" s="36">
        <f>SUM(C26:K26)</f>
        <v/>
      </c>
      <c r="M26" s="41" t="n"/>
    </row>
    <row r="27">
      <c r="A27" s="4" t="inlineStr">
        <is>
          <t>Применен судом срок исковой давности</t>
        </is>
      </c>
      <c r="B27" s="15" t="inlineStr">
        <is>
          <t>к-во</t>
        </is>
      </c>
      <c r="C27" s="24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42">
        <f>SUM(C27:K27)</f>
        <v/>
      </c>
      <c r="M27" s="41" t="n"/>
    </row>
    <row r="28">
      <c r="A28" s="68" t="n"/>
      <c r="B28" s="15" t="inlineStr">
        <is>
          <t>сумма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44" t="n">
        <v>0</v>
      </c>
      <c r="H28" s="44" t="n">
        <v>0</v>
      </c>
      <c r="I28" s="12" t="n">
        <v>0</v>
      </c>
      <c r="J28" s="44" t="n">
        <v>0</v>
      </c>
      <c r="K28" s="12" t="n">
        <v>0</v>
      </c>
      <c r="L28" s="42">
        <f>SUM(C28:K28)</f>
        <v/>
      </c>
      <c r="M28" s="41" t="n"/>
    </row>
    <row r="29">
      <c r="A29" s="4" t="inlineStr">
        <is>
          <t xml:space="preserve">Возвращено ден. ср. через ССП (сумма) </t>
        </is>
      </c>
      <c r="B29" s="9" t="inlineStr">
        <is>
          <t>долг</t>
        </is>
      </c>
      <c r="C29" s="12" t="n">
        <v>1749278.23</v>
      </c>
      <c r="D29" s="19" t="n">
        <v>0</v>
      </c>
      <c r="E29" s="23" t="n">
        <v>-209206.09</v>
      </c>
      <c r="F29" s="19" t="n">
        <v>0</v>
      </c>
      <c r="G29" s="23" t="n">
        <v>775503.5600000001</v>
      </c>
      <c r="H29" s="23" t="n">
        <v>2081281.08</v>
      </c>
      <c r="I29" s="19" t="n">
        <v>0</v>
      </c>
      <c r="J29" s="23" t="n">
        <v>532916.9300000001</v>
      </c>
      <c r="K29" s="19" t="n">
        <v>0</v>
      </c>
      <c r="L29" s="36">
        <f>SUM(C29:K29)</f>
        <v/>
      </c>
      <c r="M29" s="41" t="n"/>
    </row>
    <row r="30">
      <c r="A30" s="68" t="n"/>
      <c r="B30" s="9" t="inlineStr">
        <is>
          <t>пени</t>
        </is>
      </c>
      <c r="C30" s="12" t="n">
        <v>486368.59</v>
      </c>
      <c r="D30" s="19" t="n">
        <v>0</v>
      </c>
      <c r="E30" s="23" t="n">
        <v>94804.06</v>
      </c>
      <c r="F30" s="19" t="n">
        <v>0</v>
      </c>
      <c r="G30" s="23" t="n">
        <v>195661.34</v>
      </c>
      <c r="H30" s="23" t="n">
        <v>568208.4300000001</v>
      </c>
      <c r="I30" s="19" t="n">
        <v>0</v>
      </c>
      <c r="J30" s="23" t="n">
        <v>25869.99</v>
      </c>
      <c r="K30" s="19" t="n">
        <v>0</v>
      </c>
      <c r="L30" s="36">
        <f>SUM(C30:K30)</f>
        <v/>
      </c>
      <c r="M30" s="41" t="n"/>
    </row>
    <row r="31" ht="38.25" customHeight="1">
      <c r="A31" s="26" t="inlineStr">
        <is>
          <t xml:space="preserve">Возвращено ден. ср. через Сбербанк и Пенсионный  (сумма) </t>
        </is>
      </c>
      <c r="B31" s="9" t="inlineStr">
        <is>
          <t>долг</t>
        </is>
      </c>
      <c r="C31" s="12" t="n">
        <v>1740845.44</v>
      </c>
      <c r="D31" s="19" t="n">
        <v>0</v>
      </c>
      <c r="E31" s="23" t="n">
        <v>958552.37</v>
      </c>
      <c r="F31" s="19" t="n">
        <v>0</v>
      </c>
      <c r="G31" s="23" t="n">
        <v>899217.65</v>
      </c>
      <c r="H31" s="23" t="n">
        <v>1247258.32</v>
      </c>
      <c r="I31" s="19" t="n">
        <v>0</v>
      </c>
      <c r="J31" s="23" t="n">
        <v>136271.52</v>
      </c>
      <c r="K31" s="19" t="n">
        <v>0</v>
      </c>
      <c r="L31" s="36">
        <f>SUM(C31:K31)</f>
        <v/>
      </c>
      <c r="M31" s="41" t="n"/>
    </row>
    <row r="32">
      <c r="A32" s="69" t="inlineStr">
        <is>
          <t>Предъявлено исковых заявлений</t>
        </is>
      </c>
      <c r="B32" s="9" t="inlineStr">
        <is>
          <t>к-во</t>
        </is>
      </c>
      <c r="C32" s="18" t="n">
        <v>100</v>
      </c>
      <c r="D32" s="11" t="n">
        <v>0</v>
      </c>
      <c r="E32" s="11" t="n">
        <v>50</v>
      </c>
      <c r="F32" s="11" t="n">
        <v>50</v>
      </c>
      <c r="G32" s="11" t="n">
        <v>50</v>
      </c>
      <c r="H32" s="11" t="n">
        <v>50</v>
      </c>
      <c r="I32" s="11" t="n">
        <v>0</v>
      </c>
      <c r="J32" s="11" t="n">
        <v>0</v>
      </c>
      <c r="K32" s="11" t="n">
        <v>0</v>
      </c>
      <c r="L32" s="42">
        <f>SUM(C32:K32)</f>
        <v/>
      </c>
      <c r="M32" s="41" t="n"/>
    </row>
    <row r="33">
      <c r="A33" s="67" t="n"/>
      <c r="B33" s="9" t="inlineStr">
        <is>
          <t>долг</t>
        </is>
      </c>
      <c r="C33" s="19" t="n">
        <v>11875474.03</v>
      </c>
      <c r="D33" s="19" t="n">
        <v>0</v>
      </c>
      <c r="E33" s="13" t="n">
        <v>2842935.83</v>
      </c>
      <c r="F33" s="13" t="n">
        <v>3006353.28</v>
      </c>
      <c r="G33" s="13" t="n">
        <v>1442758.89</v>
      </c>
      <c r="H33" s="13" t="n">
        <v>2503006.11</v>
      </c>
      <c r="I33" s="43" t="n">
        <v>0</v>
      </c>
      <c r="J33" s="43" t="n">
        <v>0</v>
      </c>
      <c r="K33" s="43" t="n">
        <v>0</v>
      </c>
      <c r="L33" s="36">
        <f>SUM(C33:K33)</f>
        <v/>
      </c>
      <c r="M33" s="41" t="n"/>
    </row>
    <row r="34">
      <c r="A34" s="67" t="n"/>
      <c r="B34" s="9" t="inlineStr">
        <is>
          <t>пени</t>
        </is>
      </c>
      <c r="C34" s="19" t="n">
        <v>12345616.28</v>
      </c>
      <c r="D34" s="19" t="n">
        <v>0</v>
      </c>
      <c r="E34" s="13" t="n">
        <v>1981337.84</v>
      </c>
      <c r="F34" s="13" t="n">
        <v>2751073.78</v>
      </c>
      <c r="G34" s="13" t="n">
        <v>1228729.35</v>
      </c>
      <c r="H34" s="13" t="n">
        <v>2470873.08</v>
      </c>
      <c r="I34" s="43" t="n">
        <v>0</v>
      </c>
      <c r="J34" s="43" t="n">
        <v>0</v>
      </c>
      <c r="K34" s="43" t="n">
        <v>0</v>
      </c>
      <c r="L34" s="36">
        <f>SUM(C34:K34)</f>
        <v/>
      </c>
      <c r="M34" s="41" t="n"/>
    </row>
    <row r="35">
      <c r="A35" s="68" t="n"/>
      <c r="B35" s="15" t="inlineStr">
        <is>
          <t>г/п</t>
        </is>
      </c>
      <c r="C35" s="19" t="n">
        <v>547353.2</v>
      </c>
      <c r="D35" s="19" t="n">
        <v>0</v>
      </c>
      <c r="E35" s="13" t="n">
        <v>167691.4</v>
      </c>
      <c r="F35" s="13" t="n">
        <v>229066</v>
      </c>
      <c r="G35" s="13" t="n">
        <v>122228.65</v>
      </c>
      <c r="H35" s="13" t="n">
        <v>226933</v>
      </c>
      <c r="I35" s="43" t="n">
        <v>0</v>
      </c>
      <c r="J35" s="43" t="n">
        <v>0</v>
      </c>
      <c r="K35" s="43" t="n">
        <v>0</v>
      </c>
      <c r="L35" s="36">
        <f>SUM(C35:K35)</f>
        <v/>
      </c>
      <c r="M35" s="41" t="n"/>
    </row>
    <row r="36">
      <c r="A36" s="4" t="inlineStr">
        <is>
          <t>Удовлетворено в пользу АО "Омск РТС" исковых заявлений</t>
        </is>
      </c>
      <c r="B36" s="9" t="inlineStr">
        <is>
          <t xml:space="preserve"> к-во </t>
        </is>
      </c>
      <c r="C36" s="28" t="n">
        <v>0</v>
      </c>
      <c r="D36" s="11" t="n">
        <v>0</v>
      </c>
      <c r="E36" s="11" t="n">
        <v>0</v>
      </c>
      <c r="F36" s="11" t="n">
        <v>0</v>
      </c>
      <c r="G36" s="11" t="n">
        <v>53</v>
      </c>
      <c r="H36" s="11" t="n">
        <v>9</v>
      </c>
      <c r="I36" s="11" t="n">
        <v>0</v>
      </c>
      <c r="J36" s="11" t="n">
        <v>1</v>
      </c>
      <c r="K36" s="11" t="n">
        <v>0</v>
      </c>
      <c r="L36" s="42">
        <f>SUM(C36:K36)</f>
        <v/>
      </c>
      <c r="M36" s="41" t="n"/>
    </row>
    <row r="37">
      <c r="A37" s="67" t="n"/>
      <c r="B37" s="9" t="inlineStr">
        <is>
          <t>долг</t>
        </is>
      </c>
      <c r="C37" s="19" t="n">
        <v>0</v>
      </c>
      <c r="D37" s="19" t="n">
        <v>0</v>
      </c>
      <c r="E37" s="19" t="n">
        <v>0</v>
      </c>
      <c r="F37" s="19" t="n">
        <v>0</v>
      </c>
      <c r="G37" s="13" t="n">
        <v>2750215.48</v>
      </c>
      <c r="H37" s="13" t="n">
        <v>479376.22</v>
      </c>
      <c r="I37" s="43" t="n">
        <v>0</v>
      </c>
      <c r="J37" s="13" t="n">
        <v>4134.71</v>
      </c>
      <c r="K37" s="43" t="n">
        <v>0</v>
      </c>
      <c r="L37" s="36">
        <f>SUM(C37:K37)</f>
        <v/>
      </c>
      <c r="M37" s="41" t="n"/>
    </row>
    <row r="38">
      <c r="A38" s="67" t="n"/>
      <c r="B38" s="9" t="inlineStr">
        <is>
          <t>пени</t>
        </is>
      </c>
      <c r="C38" s="19" t="n">
        <v>0</v>
      </c>
      <c r="D38" s="19" t="n">
        <v>0</v>
      </c>
      <c r="E38" s="19" t="n">
        <v>0</v>
      </c>
      <c r="F38" s="19" t="n">
        <v>0</v>
      </c>
      <c r="G38" s="13" t="n">
        <v>1788243.54</v>
      </c>
      <c r="H38" s="13" t="n">
        <v>130522.86</v>
      </c>
      <c r="I38" s="43" t="n">
        <v>0</v>
      </c>
      <c r="J38" s="13" t="n">
        <v>1300</v>
      </c>
      <c r="K38" s="43" t="n">
        <v>0</v>
      </c>
      <c r="L38" s="36">
        <f>SUM(C38:K38)</f>
        <v/>
      </c>
      <c r="M38" s="41" t="n"/>
    </row>
    <row r="39">
      <c r="A39" s="68" t="n"/>
      <c r="B39" s="15" t="inlineStr">
        <is>
          <t>г/п</t>
        </is>
      </c>
      <c r="C39" s="19" t="n">
        <v>0</v>
      </c>
      <c r="D39" s="19" t="n">
        <v>0</v>
      </c>
      <c r="E39" s="19" t="n">
        <v>0</v>
      </c>
      <c r="F39" s="19" t="n">
        <v>0</v>
      </c>
      <c r="G39" s="13" t="n">
        <v>358225.98</v>
      </c>
      <c r="H39" s="13" t="n">
        <v>37314.28</v>
      </c>
      <c r="I39" s="43" t="n">
        <v>0</v>
      </c>
      <c r="J39" s="13" t="n">
        <v>4000</v>
      </c>
      <c r="K39" s="43" t="n">
        <v>0</v>
      </c>
      <c r="L39" s="36">
        <f>SUM(C39:K39)</f>
        <v/>
      </c>
      <c r="M39" s="41" t="n"/>
    </row>
    <row r="40" ht="25.5" customHeight="1">
      <c r="A40" s="4" t="inlineStr">
        <is>
          <t>Подготовка правового заключения о списании ДЗ</t>
        </is>
      </c>
      <c r="B40" s="9" t="inlineStr">
        <is>
          <t xml:space="preserve"> к-во </t>
        </is>
      </c>
      <c r="C40" s="18" t="n">
        <v>0</v>
      </c>
      <c r="D40" s="11" t="n">
        <v>0</v>
      </c>
      <c r="E40" s="11" t="n">
        <v>0</v>
      </c>
      <c r="F40" s="11" t="n">
        <v>0</v>
      </c>
      <c r="G40" s="11" t="n">
        <v>2</v>
      </c>
      <c r="H40" s="11" t="n">
        <v>1</v>
      </c>
      <c r="I40" s="11" t="n">
        <v>0</v>
      </c>
      <c r="J40" s="11" t="n">
        <v>0</v>
      </c>
      <c r="K40" s="11" t="n">
        <v>0</v>
      </c>
      <c r="L40" s="42">
        <f>SUM(C40:K40)</f>
        <v/>
      </c>
      <c r="M40" s="41" t="n"/>
    </row>
    <row r="41" ht="25.5" customHeight="1">
      <c r="A41" s="4" t="inlineStr">
        <is>
          <t>Выдача документов в ССП, в СБ РФ</t>
        </is>
      </c>
      <c r="B41" s="9" t="inlineStr">
        <is>
          <t xml:space="preserve"> к-во </t>
        </is>
      </c>
      <c r="C41" s="28" t="n">
        <v>12</v>
      </c>
      <c r="D41" s="11" t="n">
        <v>13</v>
      </c>
      <c r="E41" s="11" t="n">
        <v>14</v>
      </c>
      <c r="F41" s="11" t="n">
        <v>14</v>
      </c>
      <c r="G41" s="30" t="n">
        <v>0</v>
      </c>
      <c r="H41" s="30" t="n">
        <v>11</v>
      </c>
      <c r="I41" s="30" t="n">
        <v>0</v>
      </c>
      <c r="J41" s="30" t="n">
        <v>1</v>
      </c>
      <c r="K41" s="30" t="n">
        <v>0</v>
      </c>
      <c r="L41" s="42">
        <f>SUM(C41:K41)</f>
        <v/>
      </c>
      <c r="M41" s="41" t="n"/>
    </row>
    <row r="42">
      <c r="A42" s="4" t="inlineStr">
        <is>
          <t>Отмена судебного приказа</t>
        </is>
      </c>
      <c r="B42" s="9" t="inlineStr">
        <is>
          <t xml:space="preserve"> к-во </t>
        </is>
      </c>
      <c r="C42" s="18" t="n">
        <v>42</v>
      </c>
      <c r="D42" s="11" t="n">
        <v>0</v>
      </c>
      <c r="E42" s="11" t="n">
        <v>43</v>
      </c>
      <c r="F42" s="11" t="n">
        <v>0</v>
      </c>
      <c r="G42" s="30" t="n">
        <v>0</v>
      </c>
      <c r="H42" s="30" t="n">
        <v>23</v>
      </c>
      <c r="I42" s="30" t="n">
        <v>0</v>
      </c>
      <c r="J42" s="30" t="n">
        <v>10</v>
      </c>
      <c r="K42" s="30" t="n">
        <v>0</v>
      </c>
      <c r="L42" s="42">
        <f>SUM(C42:K42)</f>
        <v/>
      </c>
      <c r="M42" s="41" t="n"/>
    </row>
    <row r="43">
      <c r="A43" s="67" t="n"/>
      <c r="B43" s="9" t="inlineStr">
        <is>
          <t>долг</t>
        </is>
      </c>
      <c r="C43" s="19" t="n">
        <v>2485703.78</v>
      </c>
      <c r="D43" s="19" t="n">
        <v>0</v>
      </c>
      <c r="E43" s="19" t="n">
        <v>1535468.97</v>
      </c>
      <c r="F43" s="19" t="n">
        <v>0</v>
      </c>
      <c r="G43" s="33" t="n">
        <v>0</v>
      </c>
      <c r="H43" s="33" t="n">
        <v>1142539.15</v>
      </c>
      <c r="I43" s="33" t="n">
        <v>0</v>
      </c>
      <c r="J43" s="33" t="n">
        <v>668973.5600000001</v>
      </c>
      <c r="K43" s="33" t="n">
        <v>0</v>
      </c>
      <c r="L43" s="36">
        <f>SUM(C43:K43)</f>
        <v/>
      </c>
      <c r="M43" s="41" t="n"/>
    </row>
    <row r="44">
      <c r="A44" s="67" t="n"/>
      <c r="B44" s="9" t="inlineStr">
        <is>
          <t>пени</t>
        </is>
      </c>
      <c r="C44" s="19" t="n">
        <v>2198980.23</v>
      </c>
      <c r="D44" s="19" t="n">
        <v>0</v>
      </c>
      <c r="E44" s="19" t="n">
        <v>642663.79</v>
      </c>
      <c r="F44" s="19" t="n">
        <v>0</v>
      </c>
      <c r="G44" s="33" t="n">
        <v>0</v>
      </c>
      <c r="H44" s="33" t="n">
        <v>581972.15</v>
      </c>
      <c r="I44" s="33" t="n">
        <v>0</v>
      </c>
      <c r="J44" s="33" t="n">
        <v>452194.87</v>
      </c>
      <c r="K44" s="33" t="n">
        <v>0</v>
      </c>
      <c r="L44" s="36">
        <f>SUM(C44:K44)</f>
        <v/>
      </c>
      <c r="M44" s="41" t="n"/>
    </row>
    <row r="45">
      <c r="A45" s="68" t="n"/>
      <c r="B45" s="15" t="inlineStr">
        <is>
          <t>г/п</t>
        </is>
      </c>
      <c r="C45" s="19" t="n">
        <v>175710</v>
      </c>
      <c r="D45" s="19" t="n">
        <v>0</v>
      </c>
      <c r="E45" s="19" t="n">
        <v>48103.68</v>
      </c>
      <c r="F45" s="19" t="n">
        <v>0</v>
      </c>
      <c r="G45" s="33" t="n">
        <v>0</v>
      </c>
      <c r="H45" s="33" t="n">
        <v>39324.23</v>
      </c>
      <c r="I45" s="33" t="n">
        <v>0</v>
      </c>
      <c r="J45" s="33" t="n">
        <v>24532</v>
      </c>
      <c r="K45" s="33" t="n">
        <v>0</v>
      </c>
      <c r="L45" s="36">
        <f>SUM(C45:K45)</f>
        <v/>
      </c>
      <c r="M45" s="41" t="n"/>
    </row>
    <row r="46" ht="25.5" customHeight="1">
      <c r="A46" s="34" t="inlineStr">
        <is>
          <t xml:space="preserve">Возвращено ден. ср. через ССП (сумма) </t>
        </is>
      </c>
      <c r="B46" s="35" t="inlineStr">
        <is>
          <t>Итого</t>
        </is>
      </c>
      <c r="C46" s="36">
        <f>C29+C30</f>
        <v/>
      </c>
      <c r="D46" s="36">
        <f>D29+D30</f>
        <v/>
      </c>
      <c r="E46" s="36">
        <f>E29+E30</f>
        <v/>
      </c>
      <c r="F46" s="36">
        <f>F29+F30</f>
        <v/>
      </c>
      <c r="G46" s="36">
        <f>G29+G30</f>
        <v/>
      </c>
      <c r="H46" s="36">
        <f>H29+H30</f>
        <v/>
      </c>
      <c r="I46" s="36">
        <f>I29+I30</f>
        <v/>
      </c>
      <c r="J46" s="36">
        <f>J29+J30</f>
        <v/>
      </c>
      <c r="K46" s="36">
        <f>K29+K30</f>
        <v/>
      </c>
      <c r="L46" s="36">
        <f>SUM(C46:K46)</f>
        <v/>
      </c>
      <c r="M46" s="41" t="n"/>
    </row>
    <row r="47">
      <c r="A47" s="34" t="inlineStr">
        <is>
          <t>Итого возвращено</t>
        </is>
      </c>
      <c r="B47" s="35" t="inlineStr">
        <is>
          <t>сумма</t>
        </is>
      </c>
      <c r="C47" s="36">
        <f>SUM(C29:C31)</f>
        <v/>
      </c>
      <c r="D47" s="36">
        <f>SUM(D29:D31)</f>
        <v/>
      </c>
      <c r="E47" s="36">
        <f>SUM(E29:E31)</f>
        <v/>
      </c>
      <c r="F47" s="36">
        <f>SUM(F29:F31)</f>
        <v/>
      </c>
      <c r="G47" s="36">
        <f>SUM(G29:G31)</f>
        <v/>
      </c>
      <c r="H47" s="36">
        <f>SUM(H29:H31)</f>
        <v/>
      </c>
      <c r="I47" s="36">
        <f>SUM(I29:I31)</f>
        <v/>
      </c>
      <c r="J47" s="36">
        <f>SUM(J29:J31)</f>
        <v/>
      </c>
      <c r="K47" s="36">
        <f>SUM(K29:K31)</f>
        <v/>
      </c>
      <c r="L47" s="36">
        <f>SUM(L29:L31)</f>
        <v/>
      </c>
      <c r="M47" s="41" t="n"/>
    </row>
  </sheetData>
  <mergeCells count="11">
    <mergeCell ref="A32:A35"/>
    <mergeCell ref="A36:A39"/>
    <mergeCell ref="A27:A28"/>
    <mergeCell ref="A7:A10"/>
    <mergeCell ref="A42:A45"/>
    <mergeCell ref="A29:A30"/>
    <mergeCell ref="A3:A6"/>
    <mergeCell ref="A19:A21"/>
    <mergeCell ref="A11:A14"/>
    <mergeCell ref="A15:A18"/>
    <mergeCell ref="A22:A25"/>
  </mergeCells>
  <conditionalFormatting sqref="C2:K45">
    <cfRule type="expression" priority="2" dxfId="0">
      <formula>ISTEXT(C2)</formula>
    </cfRule>
  </conditionalFormatting>
  <pageMargins left="0.7007874015748032" right="0.7007874015748032" top="0.7519685039370078" bottom="0.7519685039370078" header="0.3" footer="0.3"/>
  <pageSetup orientation="landscape" paperSize="9" scale="64" useFirstPageNumber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topLeftCell="A22" workbookViewId="0">
      <selection activeCell="E46" sqref="E46"/>
    </sheetView>
  </sheetViews>
  <sheetFormatPr baseColWidth="8" defaultRowHeight="14.25"/>
  <cols>
    <col width="25.75" bestFit="1" customWidth="1" min="1" max="1"/>
    <col width="11.125" customWidth="1" min="3" max="11"/>
    <col width="11.625" bestFit="1" customWidth="1" min="12" max="12"/>
  </cols>
  <sheetData>
    <row r="1" ht="38.25" customHeight="1">
      <c r="A1" s="1" t="inlineStr">
        <is>
          <t>месяц</t>
        </is>
      </c>
      <c r="B1" s="1" t="inlineStr">
        <is>
          <t>ед.изм</t>
        </is>
      </c>
      <c r="C1" s="1" t="inlineStr">
        <is>
          <t>Кравец Е.А. (САО)</t>
        </is>
      </c>
      <c r="D1" s="1" t="inlineStr">
        <is>
          <t>Лощинина М.А. (САО)</t>
        </is>
      </c>
      <c r="E1" s="2" t="inlineStr">
        <is>
          <t>Павлова Ю.В.
(КАО)</t>
        </is>
      </c>
      <c r="F1" s="1" t="inlineStr">
        <is>
          <t>Кель М.В. (КАО)</t>
        </is>
      </c>
      <c r="G1" s="1" t="inlineStr">
        <is>
          <t>Епанчинцева Ю.Н.  (ЦАО)</t>
        </is>
      </c>
      <c r="H1" s="1" t="inlineStr">
        <is>
          <t>Колонтаева А.Н. (ОАО)</t>
        </is>
      </c>
      <c r="I1" s="1" t="inlineStr">
        <is>
          <t>Барныч Г.М. (ОАО)</t>
        </is>
      </c>
      <c r="J1" s="1" t="inlineStr">
        <is>
          <t>Колонтаева А.Н. (ЛАО)</t>
        </is>
      </c>
      <c r="K1" s="1" t="inlineStr">
        <is>
          <t>Барныч Г.М. (ЛАО)</t>
        </is>
      </c>
      <c r="L1" s="40" t="inlineStr">
        <is>
          <t>Итого</t>
        </is>
      </c>
    </row>
    <row r="2">
      <c r="A2" s="4" t="inlineStr">
        <is>
          <t>Принято участие в с/з, беседах</t>
        </is>
      </c>
      <c r="B2" s="5" t="inlineStr">
        <is>
          <t>к-во</t>
        </is>
      </c>
      <c r="C2" s="45" t="n">
        <v>12</v>
      </c>
      <c r="D2" s="46" t="n">
        <v>10</v>
      </c>
      <c r="E2" s="46" t="n">
        <v>22</v>
      </c>
      <c r="F2" s="46" t="n">
        <v>26</v>
      </c>
      <c r="G2" s="46" t="n">
        <v>44</v>
      </c>
      <c r="H2" s="46" t="n">
        <v>53</v>
      </c>
      <c r="I2" s="46" t="n">
        <v>15</v>
      </c>
      <c r="J2" s="46" t="n">
        <v>1</v>
      </c>
      <c r="K2" s="46" t="n">
        <v>0</v>
      </c>
      <c r="L2" s="42">
        <f>SUM(C2:K2)</f>
        <v/>
      </c>
    </row>
    <row r="3">
      <c r="A3" s="4" t="inlineStr">
        <is>
          <t>Предъявлено заявлений о вынесении судебного приказа</t>
        </is>
      </c>
      <c r="B3" s="9" t="inlineStr">
        <is>
          <t>к-во</t>
        </is>
      </c>
      <c r="C3" s="47" t="n">
        <v>0</v>
      </c>
      <c r="D3" s="48" t="n">
        <v>87</v>
      </c>
      <c r="E3" s="48" t="n">
        <v>10</v>
      </c>
      <c r="F3" s="48" t="n">
        <v>85</v>
      </c>
      <c r="G3" s="48" t="n">
        <v>0</v>
      </c>
      <c r="H3" s="48" t="n">
        <v>0</v>
      </c>
      <c r="I3" s="48" t="n">
        <v>150</v>
      </c>
      <c r="J3" s="48" t="n">
        <v>0</v>
      </c>
      <c r="K3" s="48" t="n">
        <v>50</v>
      </c>
      <c r="L3" s="42">
        <f>SUM(C3:K3)</f>
        <v/>
      </c>
    </row>
    <row r="4">
      <c r="A4" s="67" t="n"/>
      <c r="B4" s="9" t="inlineStr">
        <is>
          <t>долг</t>
        </is>
      </c>
      <c r="C4" s="49" t="n">
        <v>0</v>
      </c>
      <c r="D4" s="50" t="n">
        <v>10140932.03</v>
      </c>
      <c r="E4" s="50" t="n">
        <v>497769.63</v>
      </c>
      <c r="F4" s="50" t="n">
        <v>3341023.37</v>
      </c>
      <c r="G4" s="50" t="n">
        <v>0</v>
      </c>
      <c r="H4" s="50" t="n">
        <v>0</v>
      </c>
      <c r="I4" s="50" t="n">
        <v>7259129.81</v>
      </c>
      <c r="J4" s="50" t="n">
        <v>0</v>
      </c>
      <c r="K4" s="50" t="n">
        <v>3271442.1</v>
      </c>
      <c r="L4" s="36">
        <f>SUM(C4:K4)</f>
        <v/>
      </c>
    </row>
    <row r="5">
      <c r="A5" s="67" t="n"/>
      <c r="B5" s="9" t="inlineStr">
        <is>
          <t>пени</t>
        </is>
      </c>
      <c r="C5" s="49" t="n">
        <v>0</v>
      </c>
      <c r="D5" s="50" t="n">
        <v>5312487.61</v>
      </c>
      <c r="E5" s="50" t="n">
        <v>239346.05</v>
      </c>
      <c r="F5" s="50" t="n">
        <v>2440331.54</v>
      </c>
      <c r="G5" s="50" t="n">
        <v>0</v>
      </c>
      <c r="H5" s="50" t="n">
        <v>0</v>
      </c>
      <c r="I5" s="50" t="n">
        <v>4027618.53</v>
      </c>
      <c r="J5" s="50" t="n">
        <v>0</v>
      </c>
      <c r="K5" s="50" t="n">
        <v>2430417.04</v>
      </c>
      <c r="L5" s="36">
        <f>SUM(C5:K5)</f>
        <v/>
      </c>
    </row>
    <row r="6">
      <c r="A6" s="68" t="n"/>
      <c r="B6" s="15" t="inlineStr">
        <is>
          <t>г/п</t>
        </is>
      </c>
      <c r="C6" s="49" t="n">
        <v>0</v>
      </c>
      <c r="D6" s="50" t="n">
        <v>223071</v>
      </c>
      <c r="E6" s="50" t="n">
        <v>20616</v>
      </c>
      <c r="F6" s="50" t="n">
        <v>162746</v>
      </c>
      <c r="G6" s="50" t="n">
        <v>0</v>
      </c>
      <c r="H6" s="50" t="n">
        <v>0</v>
      </c>
      <c r="I6" s="51" t="n">
        <v>350707</v>
      </c>
      <c r="J6" s="50" t="n">
        <v>0</v>
      </c>
      <c r="K6" s="51" t="n">
        <v>77514</v>
      </c>
      <c r="L6" s="36">
        <f>SUM(C6:K6)</f>
        <v/>
      </c>
    </row>
    <row r="7">
      <c r="A7" s="4" t="inlineStr">
        <is>
          <t>Удовлетворено в пользу АО "Омск РТС" заявлений о вынесении судебных приказов</t>
        </is>
      </c>
      <c r="B7" s="9" t="inlineStr">
        <is>
          <t xml:space="preserve"> к-во </t>
        </is>
      </c>
      <c r="C7" s="47" t="n">
        <v>0</v>
      </c>
      <c r="D7" s="48" t="n">
        <v>0</v>
      </c>
      <c r="E7" s="48" t="n">
        <v>0</v>
      </c>
      <c r="F7" s="48" t="n">
        <v>0</v>
      </c>
      <c r="G7" s="48" t="n">
        <v>42</v>
      </c>
      <c r="H7" s="48" t="n">
        <v>110</v>
      </c>
      <c r="I7" s="48" t="n">
        <v>0</v>
      </c>
      <c r="J7" s="48" t="n">
        <v>101</v>
      </c>
      <c r="K7" s="48" t="n">
        <v>0</v>
      </c>
      <c r="L7" s="42">
        <f>SUM(C7:K7)</f>
        <v/>
      </c>
    </row>
    <row r="8">
      <c r="A8" s="67" t="n"/>
      <c r="B8" s="9" t="inlineStr">
        <is>
          <t>долг</t>
        </is>
      </c>
      <c r="C8" s="49" t="n">
        <v>0</v>
      </c>
      <c r="D8" s="52" t="n">
        <v>0</v>
      </c>
      <c r="E8" s="52" t="n">
        <v>0</v>
      </c>
      <c r="F8" s="52" t="n">
        <v>0</v>
      </c>
      <c r="G8" s="50" t="n">
        <v>1716083.93</v>
      </c>
      <c r="H8" s="50" t="n">
        <v>4169150.11</v>
      </c>
      <c r="I8" s="52" t="n">
        <v>0</v>
      </c>
      <c r="J8" s="50" t="n">
        <v>7982772.53</v>
      </c>
      <c r="K8" s="52" t="n">
        <v>0</v>
      </c>
      <c r="L8" s="36">
        <f>SUM(C8:K8)</f>
        <v/>
      </c>
    </row>
    <row r="9">
      <c r="A9" s="67" t="n"/>
      <c r="B9" s="9" t="inlineStr">
        <is>
          <t>пени</t>
        </is>
      </c>
      <c r="C9" s="49" t="n">
        <v>0</v>
      </c>
      <c r="D9" s="52" t="n">
        <v>0</v>
      </c>
      <c r="E9" s="52" t="n">
        <v>0</v>
      </c>
      <c r="F9" s="52" t="n">
        <v>0</v>
      </c>
      <c r="G9" s="50" t="n">
        <v>1559527.41</v>
      </c>
      <c r="H9" s="50" t="n">
        <v>2552572.46</v>
      </c>
      <c r="I9" s="52" t="n">
        <v>0</v>
      </c>
      <c r="J9" s="50" t="n">
        <v>8982470.26</v>
      </c>
      <c r="K9" s="52" t="n">
        <v>0</v>
      </c>
      <c r="L9" s="36">
        <f>SUM(C9:K9)</f>
        <v/>
      </c>
    </row>
    <row r="10">
      <c r="A10" s="68" t="n"/>
      <c r="B10" s="15" t="inlineStr">
        <is>
          <t>г/п</t>
        </is>
      </c>
      <c r="C10" s="49" t="n">
        <v>0</v>
      </c>
      <c r="D10" s="52" t="n">
        <v>0</v>
      </c>
      <c r="E10" s="52" t="n">
        <v>0</v>
      </c>
      <c r="F10" s="52" t="n">
        <v>0</v>
      </c>
      <c r="G10" s="50" t="n">
        <v>94890.03</v>
      </c>
      <c r="H10" s="50" t="n">
        <v>190701</v>
      </c>
      <c r="I10" s="52" t="n">
        <v>0</v>
      </c>
      <c r="J10" s="50" t="n">
        <v>328178</v>
      </c>
      <c r="K10" s="52" t="n">
        <v>0</v>
      </c>
      <c r="L10" s="36">
        <f>SUM(C10:K10)</f>
        <v/>
      </c>
    </row>
    <row r="11">
      <c r="A11" s="4" t="inlineStr">
        <is>
          <t>Заявления нах-ся в стадии рассмотрения</t>
        </is>
      </c>
      <c r="B11" s="9" t="inlineStr">
        <is>
          <t xml:space="preserve">к-во </t>
        </is>
      </c>
      <c r="C11" s="47" t="n">
        <v>286</v>
      </c>
      <c r="D11" s="48" t="n">
        <v>0</v>
      </c>
      <c r="E11" s="51" t="n">
        <v>1347</v>
      </c>
      <c r="F11" s="51" t="n">
        <v>1322</v>
      </c>
      <c r="G11" s="48" t="n">
        <v>961</v>
      </c>
      <c r="H11" s="48" t="n">
        <v>121</v>
      </c>
      <c r="I11" s="48" t="n">
        <v>317</v>
      </c>
      <c r="J11" s="48" t="n">
        <v>0</v>
      </c>
      <c r="K11" s="48" t="n">
        <v>63</v>
      </c>
      <c r="L11" s="36">
        <f>SUM(C11:K11)</f>
        <v/>
      </c>
    </row>
    <row r="12">
      <c r="A12" s="67" t="n"/>
      <c r="B12" s="9" t="inlineStr">
        <is>
          <t>долг</t>
        </is>
      </c>
      <c r="C12" s="49" t="n">
        <v>16243851.12</v>
      </c>
      <c r="D12" s="52" t="n">
        <v>0</v>
      </c>
      <c r="E12" s="50" t="n">
        <v>56703545.38</v>
      </c>
      <c r="F12" s="50" t="n">
        <v>60280408.01</v>
      </c>
      <c r="G12" s="50" t="n">
        <v>58880752.22</v>
      </c>
      <c r="H12" s="50" t="n">
        <v>5948298.43</v>
      </c>
      <c r="I12" s="50" t="n">
        <v>16678427.75</v>
      </c>
      <c r="J12" s="50" t="n">
        <v>0</v>
      </c>
      <c r="K12" s="50" t="n">
        <v>3965558.48</v>
      </c>
      <c r="L12" s="36">
        <f>SUM(C12:K12)</f>
        <v/>
      </c>
    </row>
    <row r="13">
      <c r="A13" s="67" t="n"/>
      <c r="B13" s="9" t="inlineStr">
        <is>
          <t>пени</t>
        </is>
      </c>
      <c r="C13" s="49" t="n">
        <v>16846281.02</v>
      </c>
      <c r="D13" s="52" t="n">
        <v>0</v>
      </c>
      <c r="E13" s="50" t="n">
        <v>37037616.27</v>
      </c>
      <c r="F13" s="50" t="n">
        <v>36197395.02</v>
      </c>
      <c r="G13" s="50" t="n">
        <v>47682686.54</v>
      </c>
      <c r="H13" s="50" t="n">
        <v>5889708.9</v>
      </c>
      <c r="I13" s="50" t="n">
        <v>9921972.98</v>
      </c>
      <c r="J13" s="50" t="n">
        <v>0</v>
      </c>
      <c r="K13" s="50" t="n">
        <v>3428348.34</v>
      </c>
      <c r="L13" s="36">
        <f>SUM(C13:K13)</f>
        <v/>
      </c>
    </row>
    <row r="14">
      <c r="A14" s="68" t="n"/>
      <c r="B14" s="15" t="inlineStr">
        <is>
          <t>г/п</t>
        </is>
      </c>
      <c r="C14" s="49" t="n">
        <v>1230000</v>
      </c>
      <c r="D14" s="52" t="n">
        <v>0</v>
      </c>
      <c r="E14" s="50" t="n">
        <v>4267722.51</v>
      </c>
      <c r="F14" s="50" t="n">
        <v>2539.5</v>
      </c>
      <c r="G14" s="50" t="n">
        <v>1424266.4</v>
      </c>
      <c r="H14" s="50" t="n">
        <v>345510</v>
      </c>
      <c r="I14" s="50" t="n">
        <v>718992</v>
      </c>
      <c r="J14" s="50" t="n">
        <v>0</v>
      </c>
      <c r="K14" s="50" t="n">
        <v>114923</v>
      </c>
      <c r="L14" s="36">
        <f>SUM(C14:K14)</f>
        <v/>
      </c>
    </row>
    <row r="15">
      <c r="A15" s="4" t="inlineStr">
        <is>
          <t>Получено исполнительных документов</t>
        </is>
      </c>
      <c r="B15" s="9" t="inlineStr">
        <is>
          <t xml:space="preserve"> к-во </t>
        </is>
      </c>
      <c r="C15" s="53" t="n">
        <v>40</v>
      </c>
      <c r="D15" s="48" t="n">
        <v>103</v>
      </c>
      <c r="E15" s="48" t="n">
        <v>0</v>
      </c>
      <c r="F15" s="48" t="n">
        <v>0</v>
      </c>
      <c r="G15" s="48" t="n">
        <v>53</v>
      </c>
      <c r="H15" s="48" t="n">
        <v>32</v>
      </c>
      <c r="I15" s="48" t="n">
        <v>0</v>
      </c>
      <c r="J15" s="48" t="n">
        <v>44</v>
      </c>
      <c r="K15" s="48" t="n">
        <v>0</v>
      </c>
      <c r="L15" s="42">
        <f>SUM(C15:K15)</f>
        <v/>
      </c>
    </row>
    <row r="16">
      <c r="A16" s="67" t="n"/>
      <c r="B16" s="9" t="inlineStr">
        <is>
          <t>долг</t>
        </is>
      </c>
      <c r="C16" s="54" t="n">
        <v>1567658.96</v>
      </c>
      <c r="D16" s="50" t="n">
        <v>5026230.63</v>
      </c>
      <c r="E16" s="52" t="n">
        <v>0</v>
      </c>
      <c r="F16" s="52" t="n">
        <v>0</v>
      </c>
      <c r="G16" s="50" t="n">
        <v>1716083.93</v>
      </c>
      <c r="H16" s="50" t="n">
        <v>757482.21</v>
      </c>
      <c r="I16" s="52" t="n">
        <v>0</v>
      </c>
      <c r="J16" s="50" t="n">
        <v>1628202.97</v>
      </c>
      <c r="K16" s="52" t="n">
        <v>0</v>
      </c>
      <c r="L16" s="36">
        <f>SUM(C16:K16)</f>
        <v/>
      </c>
    </row>
    <row r="17">
      <c r="A17" s="67" t="n"/>
      <c r="B17" s="9" t="inlineStr">
        <is>
          <t>пени</t>
        </is>
      </c>
      <c r="C17" s="54" t="n">
        <v>845805.49</v>
      </c>
      <c r="D17" s="50" t="n">
        <v>2633819.69</v>
      </c>
      <c r="E17" s="52" t="n">
        <v>0</v>
      </c>
      <c r="F17" s="52" t="n">
        <v>0</v>
      </c>
      <c r="G17" s="50" t="n">
        <v>1559527.41</v>
      </c>
      <c r="H17" s="50" t="n">
        <v>296388.98</v>
      </c>
      <c r="I17" s="52" t="n">
        <v>0</v>
      </c>
      <c r="J17" s="50" t="n">
        <v>1356899.98</v>
      </c>
      <c r="K17" s="52" t="n">
        <v>0</v>
      </c>
      <c r="L17" s="36">
        <f>SUM(C17:K17)</f>
        <v/>
      </c>
    </row>
    <row r="18">
      <c r="A18" s="68" t="n"/>
      <c r="B18" s="15" t="inlineStr">
        <is>
          <t>г/п</t>
        </is>
      </c>
      <c r="C18" s="54" t="n">
        <v>94492</v>
      </c>
      <c r="D18" s="50" t="n">
        <v>236023</v>
      </c>
      <c r="E18" s="52" t="n">
        <v>0</v>
      </c>
      <c r="F18" s="52" t="n">
        <v>0</v>
      </c>
      <c r="G18" s="50" t="n">
        <v>94890.03</v>
      </c>
      <c r="H18" s="50" t="n">
        <v>56555.6</v>
      </c>
      <c r="I18" s="52" t="n">
        <v>0</v>
      </c>
      <c r="J18" s="50" t="n">
        <v>64303.6</v>
      </c>
      <c r="K18" s="52" t="n">
        <v>0</v>
      </c>
      <c r="L18" s="36">
        <f>SUM(C18:K18)</f>
        <v/>
      </c>
    </row>
    <row r="19">
      <c r="A19" s="4" t="inlineStr">
        <is>
          <t>Отказ от иска в связи с оплатой долга</t>
        </is>
      </c>
      <c r="B19" s="15" t="inlineStr">
        <is>
          <t>к-во</t>
        </is>
      </c>
      <c r="C19" s="55" t="n">
        <v>0</v>
      </c>
      <c r="D19" s="48" t="n">
        <v>0</v>
      </c>
      <c r="E19" s="48" t="n">
        <v>0</v>
      </c>
      <c r="F19" s="48" t="n">
        <v>0</v>
      </c>
      <c r="G19" s="48" t="n">
        <v>0</v>
      </c>
      <c r="H19" s="48" t="n">
        <v>2</v>
      </c>
      <c r="I19" s="48" t="n">
        <v>0</v>
      </c>
      <c r="J19" s="48" t="n">
        <v>0</v>
      </c>
      <c r="K19" s="48" t="n">
        <v>0</v>
      </c>
      <c r="L19" s="42">
        <f>SUM(C19:K19)</f>
        <v/>
      </c>
    </row>
    <row r="20">
      <c r="A20" s="67" t="n"/>
      <c r="B20" s="9" t="inlineStr">
        <is>
          <t>долг</t>
        </is>
      </c>
      <c r="C20" s="54" t="n">
        <v>0</v>
      </c>
      <c r="D20" s="52" t="n">
        <v>0</v>
      </c>
      <c r="E20" s="54" t="n">
        <v>0</v>
      </c>
      <c r="F20" s="54" t="n">
        <v>0</v>
      </c>
      <c r="G20" s="52" t="n">
        <v>0</v>
      </c>
      <c r="H20" s="50" t="n">
        <v>103593.17</v>
      </c>
      <c r="I20" s="52" t="n">
        <v>0</v>
      </c>
      <c r="J20" s="52" t="n">
        <v>0</v>
      </c>
      <c r="K20" s="52" t="n">
        <v>0</v>
      </c>
      <c r="L20" s="36">
        <f>SUM(C20:K20)</f>
        <v/>
      </c>
    </row>
    <row r="21">
      <c r="A21" s="68" t="n"/>
      <c r="B21" s="9" t="inlineStr">
        <is>
          <t>пени</t>
        </is>
      </c>
      <c r="C21" s="54" t="n">
        <v>0</v>
      </c>
      <c r="D21" s="52" t="n">
        <v>0</v>
      </c>
      <c r="E21" s="54" t="n">
        <v>0</v>
      </c>
      <c r="F21" s="54" t="n">
        <v>0</v>
      </c>
      <c r="G21" s="52" t="n">
        <v>0</v>
      </c>
      <c r="H21" s="50" t="n">
        <v>51207.72</v>
      </c>
      <c r="I21" s="52" t="n">
        <v>0</v>
      </c>
      <c r="J21" s="52" t="n">
        <v>0</v>
      </c>
      <c r="K21" s="52" t="n">
        <v>0</v>
      </c>
      <c r="L21" s="36">
        <f>SUM(C21:K21)</f>
        <v/>
      </c>
    </row>
    <row r="22">
      <c r="A22" s="4" t="inlineStr">
        <is>
          <t>Направлено исполнительных документов в УФССП, ПФ РФ, Сбербанк РФ</t>
        </is>
      </c>
      <c r="B22" s="15" t="inlineStr">
        <is>
          <t>к-во</t>
        </is>
      </c>
      <c r="C22" s="53" t="inlineStr">
        <is>
          <t>40/22</t>
        </is>
      </c>
      <c r="D22" s="48" t="inlineStr">
        <is>
          <t>103/65</t>
        </is>
      </c>
      <c r="E22" s="48" t="n">
        <v>0</v>
      </c>
      <c r="F22" s="48" t="n">
        <v>0</v>
      </c>
      <c r="G22" s="48" t="inlineStr">
        <is>
          <t>53/42</t>
        </is>
      </c>
      <c r="H22" s="48" t="inlineStr">
        <is>
          <t>32/22</t>
        </is>
      </c>
      <c r="I22" s="48" t="n">
        <v>0</v>
      </c>
      <c r="J22" s="48" t="inlineStr">
        <is>
          <t>44/20</t>
        </is>
      </c>
      <c r="K22" s="48" t="n">
        <v>0</v>
      </c>
      <c r="L22" s="42">
        <f>SUM(C22:K22)</f>
        <v/>
      </c>
    </row>
    <row r="23">
      <c r="A23" s="67" t="n"/>
      <c r="B23" s="9" t="inlineStr">
        <is>
          <t>долг</t>
        </is>
      </c>
      <c r="C23" s="54" t="n">
        <v>1567658.96</v>
      </c>
      <c r="D23" s="50" t="n">
        <v>5026230.63</v>
      </c>
      <c r="E23" s="54" t="n">
        <v>0</v>
      </c>
      <c r="F23" s="54" t="n">
        <v>0</v>
      </c>
      <c r="G23" s="50" t="n">
        <v>1716083.93</v>
      </c>
      <c r="H23" s="50" t="n">
        <v>757482.21</v>
      </c>
      <c r="I23" s="52" t="n">
        <v>0</v>
      </c>
      <c r="J23" s="50" t="n">
        <v>1628202.97</v>
      </c>
      <c r="K23" s="52" t="n">
        <v>0</v>
      </c>
      <c r="L23" s="36">
        <f>SUM(C23:K23)</f>
        <v/>
      </c>
    </row>
    <row r="24">
      <c r="A24" s="67" t="n"/>
      <c r="B24" s="9" t="inlineStr">
        <is>
          <t>пени</t>
        </is>
      </c>
      <c r="C24" s="54" t="n">
        <v>845805.49</v>
      </c>
      <c r="D24" s="50" t="n">
        <v>2633819.69</v>
      </c>
      <c r="E24" s="54" t="n">
        <v>0</v>
      </c>
      <c r="F24" s="54" t="n">
        <v>0</v>
      </c>
      <c r="G24" s="50" t="n">
        <v>1559527.41</v>
      </c>
      <c r="H24" s="50" t="n">
        <v>296388.98</v>
      </c>
      <c r="I24" s="52" t="n">
        <v>0</v>
      </c>
      <c r="J24" s="50" t="n">
        <v>1356899.98</v>
      </c>
      <c r="K24" s="52" t="n">
        <v>0</v>
      </c>
      <c r="L24" s="36">
        <f>SUM(C24:K24)</f>
        <v/>
      </c>
    </row>
    <row r="25">
      <c r="A25" s="68" t="n"/>
      <c r="B25" s="15" t="inlineStr">
        <is>
          <t>г/п</t>
        </is>
      </c>
      <c r="C25" s="54" t="n">
        <v>94492</v>
      </c>
      <c r="D25" s="50" t="n">
        <v>236023</v>
      </c>
      <c r="E25" s="54" t="n">
        <v>0</v>
      </c>
      <c r="F25" s="54" t="n">
        <v>0</v>
      </c>
      <c r="G25" s="50" t="n">
        <v>94890.03</v>
      </c>
      <c r="H25" s="50" t="n">
        <v>56555.6</v>
      </c>
      <c r="I25" s="52" t="n">
        <v>0</v>
      </c>
      <c r="J25" s="50" t="n">
        <v>64303.6</v>
      </c>
      <c r="K25" s="52" t="n">
        <v>0</v>
      </c>
      <c r="L25" s="36">
        <f>SUM(C25:K25)</f>
        <v/>
      </c>
    </row>
    <row r="26">
      <c r="A26" s="4" t="inlineStr">
        <is>
          <t>Оплачено   г/п (по физ.лицам)</t>
        </is>
      </c>
      <c r="B26" s="15" t="inlineStr">
        <is>
          <t>сумма</t>
        </is>
      </c>
      <c r="C26" s="49" t="n">
        <v>507502</v>
      </c>
      <c r="D26" s="56" t="n">
        <v>0</v>
      </c>
      <c r="E26" s="56" t="n">
        <v>0</v>
      </c>
      <c r="F26" s="56" t="n">
        <v>0</v>
      </c>
      <c r="G26" s="57" t="n">
        <v>263083</v>
      </c>
      <c r="H26" s="57" t="n">
        <v>168402</v>
      </c>
      <c r="I26" s="57" t="n">
        <v>892254</v>
      </c>
      <c r="J26" s="56" t="n">
        <v>0</v>
      </c>
      <c r="K26" s="57" t="n">
        <v>330907</v>
      </c>
      <c r="L26" s="36">
        <f>SUM(C26:K26)</f>
        <v/>
      </c>
    </row>
    <row r="27">
      <c r="A27" s="4" t="inlineStr">
        <is>
          <t>Применен судом срок исковой давности</t>
        </is>
      </c>
      <c r="B27" s="15" t="inlineStr">
        <is>
          <t>к-во</t>
        </is>
      </c>
      <c r="C27" s="58" t="n">
        <v>18</v>
      </c>
      <c r="D27" s="48" t="n">
        <v>0</v>
      </c>
      <c r="E27" s="48" t="n">
        <v>0</v>
      </c>
      <c r="F27" s="48" t="n">
        <v>0</v>
      </c>
      <c r="G27" s="48" t="n">
        <v>0</v>
      </c>
      <c r="H27" s="48" t="n"/>
      <c r="I27" s="48" t="n">
        <v>0</v>
      </c>
      <c r="J27" s="48" t="n">
        <v>0</v>
      </c>
      <c r="K27" s="48" t="n">
        <v>0</v>
      </c>
      <c r="L27" s="42">
        <f>SUM(C27:K27)</f>
        <v/>
      </c>
    </row>
    <row r="28">
      <c r="A28" s="68" t="n"/>
      <c r="B28" s="15" t="inlineStr">
        <is>
          <t>сумма</t>
        </is>
      </c>
      <c r="C28" s="49" t="n">
        <v>1095348.16</v>
      </c>
      <c r="D28" s="56" t="n">
        <v>0</v>
      </c>
      <c r="E28" s="56" t="n">
        <v>0</v>
      </c>
      <c r="F28" s="56" t="n">
        <v>0</v>
      </c>
      <c r="G28" s="56" t="n">
        <v>0</v>
      </c>
      <c r="H28" s="56" t="n">
        <v>0</v>
      </c>
      <c r="I28" s="56" t="n">
        <v>0</v>
      </c>
      <c r="J28" s="56" t="n">
        <v>0</v>
      </c>
      <c r="K28" s="56" t="n">
        <v>0</v>
      </c>
      <c r="L28" s="42">
        <f>SUM(C28:K28)</f>
        <v/>
      </c>
    </row>
    <row r="29">
      <c r="A29" s="4" t="inlineStr">
        <is>
          <t xml:space="preserve">Возвращено ден. ср. через ССП (сумма) </t>
        </is>
      </c>
      <c r="B29" s="9" t="inlineStr">
        <is>
          <t>долг</t>
        </is>
      </c>
      <c r="C29" s="49" t="n">
        <v>2088426.54</v>
      </c>
      <c r="D29" s="56" t="n">
        <v>0</v>
      </c>
      <c r="E29" s="57" t="n">
        <v>180896.23</v>
      </c>
      <c r="F29" s="56" t="n">
        <v>0</v>
      </c>
      <c r="G29" s="57" t="n">
        <v>698858.24</v>
      </c>
      <c r="H29" s="57" t="n">
        <v>1619715.61</v>
      </c>
      <c r="I29" s="56" t="n">
        <v>0</v>
      </c>
      <c r="J29" s="57" t="n">
        <v>546276.37</v>
      </c>
      <c r="K29" s="56" t="n">
        <v>0</v>
      </c>
      <c r="L29" s="36">
        <f>SUM(C29:K29)</f>
        <v/>
      </c>
    </row>
    <row r="30">
      <c r="A30" s="68" t="n"/>
      <c r="B30" s="9" t="inlineStr">
        <is>
          <t>пени</t>
        </is>
      </c>
      <c r="C30" s="49" t="n">
        <v>782551.74</v>
      </c>
      <c r="D30" s="56" t="n">
        <v>0</v>
      </c>
      <c r="E30" s="57" t="n">
        <v>253813.96</v>
      </c>
      <c r="F30" s="56" t="n">
        <v>0</v>
      </c>
      <c r="G30" s="57" t="n">
        <v>367891.66</v>
      </c>
      <c r="H30" s="57" t="n">
        <v>690538.02</v>
      </c>
      <c r="I30" s="56" t="n">
        <v>0</v>
      </c>
      <c r="J30" s="57" t="n">
        <v>81916.21000000001</v>
      </c>
      <c r="K30" s="56" t="n">
        <v>0</v>
      </c>
      <c r="L30" s="36">
        <f>SUM(C30:K30)</f>
        <v/>
      </c>
    </row>
    <row r="31" ht="38.25" customHeight="1">
      <c r="A31" s="26" t="inlineStr">
        <is>
          <t xml:space="preserve">Возвращено ден. ср. через Сбербанк и Пенсионный  (сумма) </t>
        </is>
      </c>
      <c r="B31" s="9" t="inlineStr">
        <is>
          <t>долг</t>
        </is>
      </c>
      <c r="C31" s="49" t="n">
        <v>2916747.97</v>
      </c>
      <c r="D31" s="56" t="n">
        <v>0</v>
      </c>
      <c r="E31" s="57" t="n">
        <v>1043151.49</v>
      </c>
      <c r="F31" s="56" t="n">
        <v>0</v>
      </c>
      <c r="G31" s="57" t="n">
        <v>2106729.65</v>
      </c>
      <c r="H31" s="57" t="n">
        <v>879896.1</v>
      </c>
      <c r="I31" s="56" t="n">
        <v>0</v>
      </c>
      <c r="J31" s="57" t="n">
        <v>164120.41</v>
      </c>
      <c r="K31" s="56" t="n">
        <v>0</v>
      </c>
      <c r="L31" s="36">
        <f>SUM(C31:K31)</f>
        <v/>
      </c>
    </row>
    <row r="32">
      <c r="A32" s="69" t="inlineStr">
        <is>
          <t>Предъявлено исковых заявлений</t>
        </is>
      </c>
      <c r="B32" s="9" t="inlineStr">
        <is>
          <t>к-во</t>
        </is>
      </c>
      <c r="C32" s="53" t="n">
        <v>101</v>
      </c>
      <c r="D32" s="48" t="n">
        <v>0</v>
      </c>
      <c r="E32" s="48" t="n">
        <v>50</v>
      </c>
      <c r="F32" s="48" t="n">
        <v>43</v>
      </c>
      <c r="G32" s="48" t="n">
        <v>42</v>
      </c>
      <c r="H32" s="48" t="n">
        <v>50</v>
      </c>
      <c r="I32" s="48" t="n">
        <v>0</v>
      </c>
      <c r="J32" s="48" t="n">
        <v>0</v>
      </c>
      <c r="K32" s="48" t="n">
        <v>0</v>
      </c>
      <c r="L32" s="42">
        <f>SUM(C32:K32)</f>
        <v/>
      </c>
    </row>
    <row r="33">
      <c r="A33" s="67" t="n"/>
      <c r="B33" s="9" t="inlineStr">
        <is>
          <t>долг</t>
        </is>
      </c>
      <c r="C33" s="54" t="n">
        <v>7324869.17</v>
      </c>
      <c r="D33" s="52" t="n">
        <v>0</v>
      </c>
      <c r="E33" s="50" t="n">
        <v>1736945.65</v>
      </c>
      <c r="F33" s="50" t="n">
        <v>2132468.46</v>
      </c>
      <c r="G33" s="50" t="n">
        <v>2448393.14</v>
      </c>
      <c r="H33" s="50" t="n">
        <v>2612550.62</v>
      </c>
      <c r="I33" s="56" t="n">
        <v>0</v>
      </c>
      <c r="J33" s="52" t="n">
        <v>0</v>
      </c>
      <c r="K33" s="56" t="n">
        <v>0</v>
      </c>
      <c r="L33" s="36">
        <f>SUM(C33:K33)</f>
        <v/>
      </c>
    </row>
    <row r="34">
      <c r="A34" s="67" t="n"/>
      <c r="B34" s="9" t="inlineStr">
        <is>
          <t>пени</t>
        </is>
      </c>
      <c r="C34" s="54" t="n">
        <v>7307112.76</v>
      </c>
      <c r="D34" s="52" t="n">
        <v>0</v>
      </c>
      <c r="E34" s="50" t="n">
        <v>982839.5</v>
      </c>
      <c r="F34" s="50" t="n">
        <v>1720317.27</v>
      </c>
      <c r="G34" s="50" t="n">
        <v>1682494.12</v>
      </c>
      <c r="H34" s="50" t="n">
        <v>1745135.13</v>
      </c>
      <c r="I34" s="56" t="n">
        <v>0</v>
      </c>
      <c r="J34" s="52" t="n">
        <v>0</v>
      </c>
      <c r="K34" s="56" t="n">
        <v>0</v>
      </c>
      <c r="L34" s="36">
        <f>SUM(C34:K34)</f>
        <v/>
      </c>
    </row>
    <row r="35">
      <c r="A35" s="68" t="n"/>
      <c r="B35" s="15" t="inlineStr">
        <is>
          <t>г/п</t>
        </is>
      </c>
      <c r="C35" s="54" t="n">
        <v>535935</v>
      </c>
      <c r="D35" s="52" t="n">
        <v>0</v>
      </c>
      <c r="E35" s="50" t="n">
        <v>133670</v>
      </c>
      <c r="F35" s="50" t="n">
        <v>143530</v>
      </c>
      <c r="G35" s="50" t="n">
        <v>212023</v>
      </c>
      <c r="H35" s="50" t="n">
        <v>218689</v>
      </c>
      <c r="I35" s="56" t="n">
        <v>0</v>
      </c>
      <c r="J35" s="52" t="n">
        <v>0</v>
      </c>
      <c r="K35" s="56" t="n">
        <v>0</v>
      </c>
      <c r="L35" s="36">
        <f>SUM(C35:K35)</f>
        <v/>
      </c>
    </row>
    <row r="36">
      <c r="A36" s="4" t="inlineStr">
        <is>
          <t>Удовлетворено в пользу АО "Омск РТС" исковых заявлений</t>
        </is>
      </c>
      <c r="B36" s="9" t="inlineStr">
        <is>
          <t xml:space="preserve"> к-во </t>
        </is>
      </c>
      <c r="C36" s="59" t="n">
        <v>0</v>
      </c>
      <c r="D36" s="48" t="n">
        <v>0</v>
      </c>
      <c r="E36" s="48" t="n">
        <v>0</v>
      </c>
      <c r="F36" s="48" t="n">
        <v>0</v>
      </c>
      <c r="G36" s="48" t="n">
        <v>32</v>
      </c>
      <c r="H36" s="48" t="n">
        <v>13</v>
      </c>
      <c r="I36" s="48" t="n">
        <v>0</v>
      </c>
      <c r="J36" s="48" t="n">
        <v>1</v>
      </c>
      <c r="K36" s="48" t="n">
        <v>0</v>
      </c>
      <c r="L36" s="42">
        <f>SUM(C36:K36)</f>
        <v/>
      </c>
    </row>
    <row r="37">
      <c r="A37" s="67" t="n"/>
      <c r="B37" s="9" t="inlineStr">
        <is>
          <t>долг</t>
        </is>
      </c>
      <c r="C37" s="54" t="n">
        <v>0</v>
      </c>
      <c r="D37" s="52" t="n">
        <v>0</v>
      </c>
      <c r="E37" s="52" t="n">
        <v>0</v>
      </c>
      <c r="F37" s="52" t="n">
        <v>0</v>
      </c>
      <c r="G37" s="50" t="n">
        <v>1596223.44</v>
      </c>
      <c r="H37" s="50" t="n">
        <v>579603.8</v>
      </c>
      <c r="I37" s="56" t="n">
        <v>0</v>
      </c>
      <c r="J37" s="50" t="n">
        <v>68386.36</v>
      </c>
      <c r="K37" s="56" t="n">
        <v>0</v>
      </c>
      <c r="L37" s="36">
        <f>SUM(C37:K37)</f>
        <v/>
      </c>
    </row>
    <row r="38">
      <c r="A38" s="67" t="n"/>
      <c r="B38" s="9" t="inlineStr">
        <is>
          <t>пени</t>
        </is>
      </c>
      <c r="C38" s="54" t="n">
        <v>0</v>
      </c>
      <c r="D38" s="52" t="n">
        <v>0</v>
      </c>
      <c r="E38" s="52" t="n">
        <v>0</v>
      </c>
      <c r="F38" s="52" t="n">
        <v>0</v>
      </c>
      <c r="G38" s="50" t="n">
        <v>928214.36</v>
      </c>
      <c r="H38" s="50" t="n">
        <v>404356.08</v>
      </c>
      <c r="I38" s="56" t="n">
        <v>0</v>
      </c>
      <c r="J38" s="50" t="n">
        <v>9853.6</v>
      </c>
      <c r="K38" s="56" t="n">
        <v>0</v>
      </c>
      <c r="L38" s="36">
        <f>SUM(C38:K38)</f>
        <v/>
      </c>
    </row>
    <row r="39">
      <c r="A39" s="68" t="n"/>
      <c r="B39" s="15" t="inlineStr">
        <is>
          <t>г/п</t>
        </is>
      </c>
      <c r="C39" s="54" t="n">
        <v>0</v>
      </c>
      <c r="D39" s="52" t="n">
        <v>0</v>
      </c>
      <c r="E39" s="52" t="n">
        <v>0</v>
      </c>
      <c r="F39" s="52" t="n">
        <v>0</v>
      </c>
      <c r="G39" s="50" t="n">
        <v>226987.79</v>
      </c>
      <c r="H39" s="50" t="n">
        <v>55697</v>
      </c>
      <c r="I39" s="56" t="n">
        <v>0</v>
      </c>
      <c r="J39" s="50" t="n">
        <v>4000</v>
      </c>
      <c r="K39" s="56" t="n">
        <v>0</v>
      </c>
      <c r="L39" s="36">
        <f>SUM(C39:K39)</f>
        <v/>
      </c>
    </row>
    <row r="40" ht="25.5" customHeight="1">
      <c r="A40" s="4" t="inlineStr">
        <is>
          <t>Подготовка правового заключения о списании ДЗ</t>
        </is>
      </c>
      <c r="B40" s="9" t="inlineStr">
        <is>
          <t xml:space="preserve"> к-во </t>
        </is>
      </c>
      <c r="C40" s="53" t="n">
        <v>0</v>
      </c>
      <c r="D40" s="48" t="n">
        <v>0</v>
      </c>
      <c r="E40" s="48" t="n">
        <v>0</v>
      </c>
      <c r="F40" s="48" t="n">
        <v>0</v>
      </c>
      <c r="G40" s="48" t="n">
        <v>12</v>
      </c>
      <c r="H40" s="48" t="n">
        <v>1</v>
      </c>
      <c r="I40" s="48" t="n">
        <v>0</v>
      </c>
      <c r="J40" s="48" t="n">
        <v>1</v>
      </c>
      <c r="K40" s="48" t="n">
        <v>0</v>
      </c>
      <c r="L40" s="42">
        <f>SUM(C40:K40)</f>
        <v/>
      </c>
    </row>
    <row r="41" ht="25.5" customHeight="1">
      <c r="A41" s="4" t="inlineStr">
        <is>
          <t>Выдача документов в ССП, в СБ РФ</t>
        </is>
      </c>
      <c r="B41" s="9" t="inlineStr">
        <is>
          <t xml:space="preserve"> к-во </t>
        </is>
      </c>
      <c r="C41" s="55" t="n">
        <v>7</v>
      </c>
      <c r="D41" s="48" t="n">
        <v>8</v>
      </c>
      <c r="E41" s="48" t="n">
        <v>17</v>
      </c>
      <c r="F41" s="48" t="n">
        <v>3</v>
      </c>
      <c r="G41" s="60" t="n">
        <v>0</v>
      </c>
      <c r="H41" s="60" t="n">
        <v>17</v>
      </c>
      <c r="I41" s="48" t="n">
        <v>0</v>
      </c>
      <c r="J41" s="60" t="n">
        <v>0</v>
      </c>
      <c r="K41" s="48" t="n">
        <v>0</v>
      </c>
      <c r="L41" s="42">
        <f>SUM(C41:K41)</f>
        <v/>
      </c>
    </row>
    <row r="42">
      <c r="A42" s="4" t="inlineStr">
        <is>
          <t>Отмена судебного приказа</t>
        </is>
      </c>
      <c r="B42" s="9" t="inlineStr">
        <is>
          <t xml:space="preserve"> к-во </t>
        </is>
      </c>
      <c r="C42" s="53" t="n">
        <v>44</v>
      </c>
      <c r="D42" s="48" t="n">
        <v>0</v>
      </c>
      <c r="E42" s="60" t="n">
        <v>62</v>
      </c>
      <c r="F42" s="60" t="n">
        <v>0</v>
      </c>
      <c r="G42" s="60" t="n">
        <v>0</v>
      </c>
      <c r="H42" s="60" t="n">
        <v>24</v>
      </c>
      <c r="I42" s="60" t="n">
        <v>0</v>
      </c>
      <c r="J42" s="60" t="n">
        <v>16</v>
      </c>
      <c r="K42" s="60" t="n">
        <v>0</v>
      </c>
      <c r="L42" s="42">
        <f>SUM(C42:K42)</f>
        <v/>
      </c>
    </row>
    <row r="43">
      <c r="A43" s="67" t="n"/>
      <c r="B43" s="9" t="inlineStr">
        <is>
          <t>долг</t>
        </is>
      </c>
      <c r="C43" s="54" t="n">
        <v>2306495.03</v>
      </c>
      <c r="D43" s="52" t="n">
        <v>0</v>
      </c>
      <c r="E43" s="60" t="n">
        <v>2081066.69</v>
      </c>
      <c r="F43" s="60" t="n">
        <v>0</v>
      </c>
      <c r="G43" s="60" t="n">
        <v>0</v>
      </c>
      <c r="H43" s="60" t="n">
        <v>1125816.76</v>
      </c>
      <c r="I43" s="60" t="n">
        <v>0</v>
      </c>
      <c r="J43" s="60" t="n">
        <v>1140471.34</v>
      </c>
      <c r="K43" s="60" t="n">
        <v>0</v>
      </c>
      <c r="L43" s="36">
        <f>SUM(C43:K43)</f>
        <v/>
      </c>
    </row>
    <row r="44">
      <c r="A44" s="67" t="n"/>
      <c r="B44" s="9" t="inlineStr">
        <is>
          <t>пени</t>
        </is>
      </c>
      <c r="C44" s="54" t="n">
        <v>2057900.18</v>
      </c>
      <c r="D44" s="52" t="n">
        <v>0</v>
      </c>
      <c r="E44" s="60" t="n">
        <v>1509772.58</v>
      </c>
      <c r="F44" s="60" t="n">
        <v>0</v>
      </c>
      <c r="G44" s="60" t="n">
        <v>0</v>
      </c>
      <c r="H44" s="60" t="n">
        <v>499138.7</v>
      </c>
      <c r="I44" s="60" t="n">
        <v>0</v>
      </c>
      <c r="J44" s="60" t="n">
        <v>928745.8</v>
      </c>
      <c r="K44" s="60" t="n">
        <v>0</v>
      </c>
      <c r="L44" s="36">
        <f>SUM(C44:K44)</f>
        <v/>
      </c>
    </row>
    <row r="45">
      <c r="A45" s="68" t="n"/>
      <c r="B45" s="15" t="inlineStr">
        <is>
          <t>г/п</t>
        </is>
      </c>
      <c r="C45" s="54" t="n">
        <v>179892</v>
      </c>
      <c r="D45" s="52" t="n">
        <v>0</v>
      </c>
      <c r="E45" s="60" t="n">
        <v>78624.14</v>
      </c>
      <c r="F45" s="60" t="n">
        <v>0</v>
      </c>
      <c r="G45" s="60" t="n">
        <v>0</v>
      </c>
      <c r="H45" s="60" t="n">
        <v>49315.77</v>
      </c>
      <c r="I45" s="60" t="n">
        <v>0</v>
      </c>
      <c r="J45" s="60" t="n">
        <v>40115</v>
      </c>
      <c r="K45" s="60" t="n">
        <v>0</v>
      </c>
      <c r="L45" s="36">
        <f>SUM(C45:K45)</f>
        <v/>
      </c>
    </row>
    <row r="46" ht="25.5" customHeight="1">
      <c r="A46" s="34" t="inlineStr">
        <is>
          <t xml:space="preserve">Возвращено ден. ср. через ССП (сумма) </t>
        </is>
      </c>
      <c r="B46" s="35" t="inlineStr">
        <is>
          <t>Итого</t>
        </is>
      </c>
      <c r="C46" s="36">
        <f>C29+C30</f>
        <v/>
      </c>
      <c r="D46" s="36">
        <f>D29+D30</f>
        <v/>
      </c>
      <c r="E46" s="36">
        <f>E29+E30</f>
        <v/>
      </c>
      <c r="F46" s="36">
        <f>F29+F30</f>
        <v/>
      </c>
      <c r="G46" s="36">
        <f>G29+G30</f>
        <v/>
      </c>
      <c r="H46" s="36">
        <f>H29+H30</f>
        <v/>
      </c>
      <c r="I46" s="36">
        <f>I29+I30</f>
        <v/>
      </c>
      <c r="J46" s="36">
        <f>J29+J30</f>
        <v/>
      </c>
      <c r="K46" s="36">
        <f>K29+K30</f>
        <v/>
      </c>
      <c r="L46" s="36">
        <f>SUM(C46:K46)</f>
        <v/>
      </c>
    </row>
    <row r="47">
      <c r="A47" s="34" t="inlineStr">
        <is>
          <t>Итого возвращено</t>
        </is>
      </c>
      <c r="B47" s="35" t="inlineStr">
        <is>
          <t>сумма</t>
        </is>
      </c>
      <c r="C47" s="36">
        <f>SUM(C29:C31)</f>
        <v/>
      </c>
      <c r="D47" s="36">
        <f>SUM(D29:D31)</f>
        <v/>
      </c>
      <c r="E47" s="36">
        <f>SUM(E29:E31)</f>
        <v/>
      </c>
      <c r="F47" s="36">
        <f>SUM(F29:F31)</f>
        <v/>
      </c>
      <c r="G47" s="36">
        <f>SUM(G29:G31)</f>
        <v/>
      </c>
      <c r="H47" s="36">
        <f>SUM(H29:H31)</f>
        <v/>
      </c>
      <c r="I47" s="36">
        <f>SUM(I29:I31)</f>
        <v/>
      </c>
      <c r="J47" s="36">
        <f>SUM(J29:J31)</f>
        <v/>
      </c>
      <c r="K47" s="36">
        <f>SUM(K29:K31)</f>
        <v/>
      </c>
      <c r="L47" s="36">
        <f>SUM(C47:K47)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6F"/>
  <mergeCells count="11">
    <mergeCell ref="A32:A35"/>
    <mergeCell ref="A36:A39"/>
    <mergeCell ref="A27:A28"/>
    <mergeCell ref="A7:A10"/>
    <mergeCell ref="A42:A45"/>
    <mergeCell ref="A29:A30"/>
    <mergeCell ref="A3:A6"/>
    <mergeCell ref="A19:A21"/>
    <mergeCell ref="A11:A14"/>
    <mergeCell ref="A15:A18"/>
    <mergeCell ref="A22:A25"/>
  </mergeCells>
  <conditionalFormatting sqref="C2:K45">
    <cfRule type="expression" priority="1" dxfId="0">
      <formula>ISTEXT(C2)</formula>
    </cfRule>
  </conditionalFormatting>
  <pageMargins left="0.7007874015748032" right="0.7007874015748032" top="0.7519685039370078" bottom="0.7519685039370078" header="0.3" footer="0.3"/>
  <pageSetup orientation="landscape" paperSize="9" scale="64" useFirstPageNumber="1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L47"/>
  <sheetViews>
    <sheetView tabSelected="1" workbookViewId="0">
      <pane xSplit="2" ySplit="1" topLeftCell="C2" activePane="bottomRight" state="frozen"/>
      <selection activeCell="H42" sqref="H42"/>
      <selection pane="topRight" activeCell="A1" sqref="A1"/>
      <selection pane="bottomLeft" activeCell="A1" sqref="A1"/>
      <selection pane="bottomRight" activeCell="F46" sqref="F46"/>
    </sheetView>
  </sheetViews>
  <sheetFormatPr baseColWidth="8" defaultRowHeight="14.25"/>
  <cols>
    <col width="25.75" customWidth="1" min="1" max="1"/>
    <col width="11.125" customWidth="1" min="3" max="11"/>
    <col width="11.625" customWidth="1" min="12" max="12"/>
  </cols>
  <sheetData>
    <row r="1" ht="38.25" customHeight="1">
      <c r="A1" s="1" t="inlineStr">
        <is>
          <t>месяц</t>
        </is>
      </c>
      <c r="B1" s="1" t="inlineStr">
        <is>
          <t>ед.изм</t>
        </is>
      </c>
      <c r="C1" s="1" t="inlineStr">
        <is>
          <t>Кравец Е.А. (САО)</t>
        </is>
      </c>
      <c r="D1" s="1" t="inlineStr">
        <is>
          <t>Лощинина М.А. (САО)</t>
        </is>
      </c>
      <c r="E1" s="2" t="inlineStr">
        <is>
          <t>Павлова Ю.В.
(КАО)</t>
        </is>
      </c>
      <c r="F1" s="1" t="inlineStr">
        <is>
          <t>Кель М.В. (КАО)</t>
        </is>
      </c>
      <c r="G1" s="1" t="inlineStr">
        <is>
          <t>Епанчинцева Ю.Н.  (ЦАО)</t>
        </is>
      </c>
      <c r="H1" s="1" t="inlineStr">
        <is>
          <t>Колонтаева А.Н. (ОАО)</t>
        </is>
      </c>
      <c r="I1" s="1" t="inlineStr">
        <is>
          <t>Барныч Г.М. (ОАО)</t>
        </is>
      </c>
      <c r="J1" s="1" t="inlineStr">
        <is>
          <t>Колонтаева А.Н. (ЛАО)</t>
        </is>
      </c>
      <c r="K1" s="1" t="inlineStr">
        <is>
          <t>Барныч Г.М. (ЛАО)</t>
        </is>
      </c>
      <c r="L1" s="40" t="inlineStr">
        <is>
          <t>Итого</t>
        </is>
      </c>
    </row>
    <row r="2">
      <c r="A2" s="4" t="inlineStr">
        <is>
          <t>Принято участие в с/з, беседах</t>
        </is>
      </c>
      <c r="B2" s="5" t="inlineStr">
        <is>
          <t>к-во</t>
        </is>
      </c>
      <c r="C2" s="17">
        <f>янв!C2+фев!C2+мар!C2</f>
        <v/>
      </c>
      <c r="D2" s="17">
        <f>янв!D2+фев!D2+мар!D2</f>
        <v/>
      </c>
      <c r="E2" s="17">
        <f>янв!E2+фев!E2+мар!E2</f>
        <v/>
      </c>
      <c r="F2" s="17">
        <f>янв!F2+фев!F2+мар!F2</f>
        <v/>
      </c>
      <c r="G2" s="17">
        <f>янв!G2+фев!G2+мар!G2</f>
        <v/>
      </c>
      <c r="H2" s="17">
        <f>янв!H2+фев!H2+мар!H2</f>
        <v/>
      </c>
      <c r="I2" s="17">
        <f>янв!I2+фев!I2+мар!I2</f>
        <v/>
      </c>
      <c r="J2" s="17">
        <f>янв!J2+фев!J2+мар!J2</f>
        <v/>
      </c>
      <c r="K2" s="17">
        <f>янв!K2+фев!K2+мар!K2</f>
        <v/>
      </c>
      <c r="L2" s="42">
        <f>янв!L2+фев!L2+мар!L2</f>
        <v/>
      </c>
    </row>
    <row r="3">
      <c r="A3" s="4" t="inlineStr">
        <is>
          <t>Предъявлено заявлений о вынесении судебного приказа</t>
        </is>
      </c>
      <c r="B3" s="9" t="inlineStr">
        <is>
          <t>к-во</t>
        </is>
      </c>
      <c r="C3" s="17">
        <f>янв!C3+фев!C3+мар!C3</f>
        <v/>
      </c>
      <c r="D3" s="17">
        <f>янв!D3+фев!D3+мар!D3</f>
        <v/>
      </c>
      <c r="E3" s="17">
        <f>янв!E3+фев!E3+мар!E3</f>
        <v/>
      </c>
      <c r="F3" s="17">
        <f>янв!F3+фев!F3+мар!F3</f>
        <v/>
      </c>
      <c r="G3" s="17">
        <f>янв!G3+фев!G3+мар!G3</f>
        <v/>
      </c>
      <c r="H3" s="17">
        <f>янв!H3+фев!H3+мар!H3</f>
        <v/>
      </c>
      <c r="I3" s="17">
        <f>янв!I3+фев!I3+мар!I3</f>
        <v/>
      </c>
      <c r="J3" s="17">
        <f>янв!J3+фев!J3+мар!J3</f>
        <v/>
      </c>
      <c r="K3" s="17">
        <f>янв!K3+фев!K3+мар!K3</f>
        <v/>
      </c>
      <c r="L3" s="42">
        <f>янв!L3+фев!L3+мар!L3</f>
        <v/>
      </c>
    </row>
    <row r="4">
      <c r="A4" s="67" t="n"/>
      <c r="B4" s="9" t="inlineStr">
        <is>
          <t>долг</t>
        </is>
      </c>
      <c r="C4" s="17">
        <f>янв!C4+фев!C4+мар!C4</f>
        <v/>
      </c>
      <c r="D4" s="17">
        <f>янв!D4+фев!D4+мар!D4</f>
        <v/>
      </c>
      <c r="E4" s="17">
        <f>янв!E4+фев!E4+мар!E4</f>
        <v/>
      </c>
      <c r="F4" s="17">
        <f>янв!F4+фев!F4+мар!F4</f>
        <v/>
      </c>
      <c r="G4" s="17">
        <f>янв!G4+фев!G4+мар!G4</f>
        <v/>
      </c>
      <c r="H4" s="17">
        <f>янв!H4+фев!H4+мар!H4</f>
        <v/>
      </c>
      <c r="I4" s="17">
        <f>янв!I4+фев!I4+мар!I4</f>
        <v/>
      </c>
      <c r="J4" s="17">
        <f>янв!J4+фев!J4+мар!J4</f>
        <v/>
      </c>
      <c r="K4" s="17">
        <f>янв!K4+фев!K4+мар!K4</f>
        <v/>
      </c>
      <c r="L4" s="36">
        <f>янв!L4+фев!L4+мар!L4</f>
        <v/>
      </c>
    </row>
    <row r="5">
      <c r="A5" s="67" t="n"/>
      <c r="B5" s="9" t="inlineStr">
        <is>
          <t>пени</t>
        </is>
      </c>
      <c r="C5" s="17">
        <f>янв!C5+фев!C5+мар!C5</f>
        <v/>
      </c>
      <c r="D5" s="17">
        <f>янв!D5+фев!D5+мар!D5</f>
        <v/>
      </c>
      <c r="E5" s="17">
        <f>янв!E5+фев!E5+мар!E5</f>
        <v/>
      </c>
      <c r="F5" s="17">
        <f>янв!F5+фев!F5+мар!F5</f>
        <v/>
      </c>
      <c r="G5" s="17">
        <f>янв!G5+фев!G5+мар!G5</f>
        <v/>
      </c>
      <c r="H5" s="17">
        <f>янв!H5+фев!H5+мар!H5</f>
        <v/>
      </c>
      <c r="I5" s="17">
        <f>янв!I5+фев!I5+мар!I5</f>
        <v/>
      </c>
      <c r="J5" s="17">
        <f>янв!J5+фев!J5+мар!J5</f>
        <v/>
      </c>
      <c r="K5" s="17">
        <f>янв!K5+фев!K5+мар!K5</f>
        <v/>
      </c>
      <c r="L5" s="36">
        <f>янв!L5+фев!L5+мар!L5</f>
        <v/>
      </c>
    </row>
    <row r="6">
      <c r="A6" s="68" t="n"/>
      <c r="B6" s="15" t="inlineStr">
        <is>
          <t>г/п</t>
        </is>
      </c>
      <c r="C6" s="17">
        <f>янв!C6+фев!C6+мар!C6</f>
        <v/>
      </c>
      <c r="D6" s="17">
        <f>янв!D6+фев!D6+мар!D6</f>
        <v/>
      </c>
      <c r="E6" s="17">
        <f>янв!E6+фев!E6+мар!E6</f>
        <v/>
      </c>
      <c r="F6" s="17">
        <f>янв!F6+фев!F6+мар!F6</f>
        <v/>
      </c>
      <c r="G6" s="17">
        <f>янв!G6+фев!G6+мар!G6</f>
        <v/>
      </c>
      <c r="H6" s="17">
        <f>янв!H6+фев!H6+мар!H6</f>
        <v/>
      </c>
      <c r="I6" s="17">
        <f>янв!I6+фев!I6+мар!I6</f>
        <v/>
      </c>
      <c r="J6" s="17">
        <f>янв!J6+фев!J6+мар!J6</f>
        <v/>
      </c>
      <c r="K6" s="17">
        <f>янв!K6+фев!K6+мар!K6</f>
        <v/>
      </c>
      <c r="L6" s="36">
        <f>янв!L6+фев!L6+мар!L6</f>
        <v/>
      </c>
    </row>
    <row r="7">
      <c r="A7" s="4" t="inlineStr">
        <is>
          <t>Удовлетворено в пользу АО "Омск РТС" заявлений о вынесении судебных приказов</t>
        </is>
      </c>
      <c r="B7" s="9" t="inlineStr">
        <is>
          <t xml:space="preserve"> к-во </t>
        </is>
      </c>
      <c r="C7" s="17">
        <f>янв!C7+фев!C7+мар!C7</f>
        <v/>
      </c>
      <c r="D7" s="17">
        <f>янв!D7+фев!D7+мар!D7</f>
        <v/>
      </c>
      <c r="E7" s="17">
        <f>янв!E7+фев!E7+мар!E7</f>
        <v/>
      </c>
      <c r="F7" s="17">
        <f>янв!F7+фев!F7+мар!F7</f>
        <v/>
      </c>
      <c r="G7" s="17">
        <f>янв!G7+фев!G7+мар!G7</f>
        <v/>
      </c>
      <c r="H7" s="17">
        <f>янв!H7+фев!H7+мар!H7</f>
        <v/>
      </c>
      <c r="I7" s="17">
        <f>янв!I7+фев!I7+мар!I7</f>
        <v/>
      </c>
      <c r="J7" s="17">
        <f>янв!J7+фев!J7+мар!J7</f>
        <v/>
      </c>
      <c r="K7" s="17">
        <f>янв!K7+фев!K7+мар!K7</f>
        <v/>
      </c>
      <c r="L7" s="42">
        <f>янв!L7+фев!L7+мар!L7</f>
        <v/>
      </c>
    </row>
    <row r="8">
      <c r="A8" s="67" t="n"/>
      <c r="B8" s="9" t="inlineStr">
        <is>
          <t>долг</t>
        </is>
      </c>
      <c r="C8" s="17">
        <f>янв!C8+фев!C8+мар!C8</f>
        <v/>
      </c>
      <c r="D8" s="17">
        <f>янв!D8+фев!D8+мар!D8</f>
        <v/>
      </c>
      <c r="E8" s="17">
        <f>янв!E8+фев!E8+мар!E8</f>
        <v/>
      </c>
      <c r="F8" s="17">
        <f>янв!F8+фев!F8+мар!F8</f>
        <v/>
      </c>
      <c r="G8" s="17">
        <f>янв!G8+фев!G8+мар!G8</f>
        <v/>
      </c>
      <c r="H8" s="17">
        <f>янв!H8+фев!H8+мар!H8</f>
        <v/>
      </c>
      <c r="I8" s="17">
        <f>янв!I8+фев!I8+мар!I8</f>
        <v/>
      </c>
      <c r="J8" s="17">
        <f>янв!J8+фев!J8+мар!J8</f>
        <v/>
      </c>
      <c r="K8" s="17">
        <f>янв!K8+фев!K8+мар!K8</f>
        <v/>
      </c>
      <c r="L8" s="36">
        <f>янв!L8+фев!L8+мар!L8</f>
        <v/>
      </c>
    </row>
    <row r="9">
      <c r="A9" s="67" t="n"/>
      <c r="B9" s="9" t="inlineStr">
        <is>
          <t>пени</t>
        </is>
      </c>
      <c r="C9" s="17">
        <f>янв!C9+фев!C9+мар!C9</f>
        <v/>
      </c>
      <c r="D9" s="17">
        <f>янв!D9+фев!D9+мар!D9</f>
        <v/>
      </c>
      <c r="E9" s="17">
        <f>янв!E9+фев!E9+мар!E9</f>
        <v/>
      </c>
      <c r="F9" s="17">
        <f>янв!F9+фев!F9+мар!F9</f>
        <v/>
      </c>
      <c r="G9" s="17">
        <f>янв!G9+фев!G9+мар!G9</f>
        <v/>
      </c>
      <c r="H9" s="17">
        <f>янв!H9+фев!H9+мар!H9</f>
        <v/>
      </c>
      <c r="I9" s="17">
        <f>янв!I9+фев!I9+мар!I9</f>
        <v/>
      </c>
      <c r="J9" s="17">
        <f>янв!J9+фев!J9+мар!J9</f>
        <v/>
      </c>
      <c r="K9" s="17">
        <f>янв!K9+фев!K9+мар!K9</f>
        <v/>
      </c>
      <c r="L9" s="36">
        <f>янв!L9+фев!L9+мар!L9</f>
        <v/>
      </c>
    </row>
    <row r="10">
      <c r="A10" s="68" t="n"/>
      <c r="B10" s="15" t="inlineStr">
        <is>
          <t>г/п</t>
        </is>
      </c>
      <c r="C10" s="17">
        <f>янв!C10+фев!C10+мар!C10</f>
        <v/>
      </c>
      <c r="D10" s="17">
        <f>янв!D10+фев!D10+мар!D10</f>
        <v/>
      </c>
      <c r="E10" s="17">
        <f>янв!E10+фев!E10+мар!E10</f>
        <v/>
      </c>
      <c r="F10" s="17">
        <f>янв!F10+фев!F10+мар!F10</f>
        <v/>
      </c>
      <c r="G10" s="17">
        <f>янв!G10+фев!G10+мар!G10</f>
        <v/>
      </c>
      <c r="H10" s="17">
        <f>янв!H10+фев!H10+мар!H10</f>
        <v/>
      </c>
      <c r="I10" s="17">
        <f>янв!I10+фев!I10+мар!I10</f>
        <v/>
      </c>
      <c r="J10" s="17">
        <f>янв!J10+фев!J10+мар!J10</f>
        <v/>
      </c>
      <c r="K10" s="17">
        <f>янв!K10+фев!K10+мар!K10</f>
        <v/>
      </c>
      <c r="L10" s="36">
        <f>янв!L10+фев!L10+мар!L10</f>
        <v/>
      </c>
    </row>
    <row r="11">
      <c r="A11" s="4" t="inlineStr">
        <is>
          <t>Заявления нах-ся в стадии рассмотрения</t>
        </is>
      </c>
      <c r="B11" s="9" t="inlineStr">
        <is>
          <t xml:space="preserve">к-во </t>
        </is>
      </c>
      <c r="C11" s="17">
        <f>янв!C11+фев!C11+мар!C11</f>
        <v/>
      </c>
      <c r="D11" s="17">
        <f>янв!D11+фев!D11+мар!D11</f>
        <v/>
      </c>
      <c r="E11" s="17">
        <f>янв!E11+фев!E11+мар!E11</f>
        <v/>
      </c>
      <c r="F11" s="17">
        <f>янв!F11+фев!F11+мар!F11</f>
        <v/>
      </c>
      <c r="G11" s="17">
        <f>янв!G11+фев!G11+мар!G11</f>
        <v/>
      </c>
      <c r="H11" s="17">
        <f>янв!H11+фев!H11+мар!H11</f>
        <v/>
      </c>
      <c r="I11" s="17">
        <f>янв!I11+фев!I11+мар!I11</f>
        <v/>
      </c>
      <c r="J11" s="17">
        <f>янв!J11+фев!J11+мар!J11</f>
        <v/>
      </c>
      <c r="K11" s="17">
        <f>янв!K11+фев!K11+мар!K11</f>
        <v/>
      </c>
      <c r="L11" s="36">
        <f>янв!L11+фев!L11+мар!L11</f>
        <v/>
      </c>
    </row>
    <row r="12">
      <c r="A12" s="67" t="n"/>
      <c r="B12" s="9" t="inlineStr">
        <is>
          <t>долг</t>
        </is>
      </c>
      <c r="C12" s="17">
        <f>янв!C12+фев!C12+мар!C12</f>
        <v/>
      </c>
      <c r="D12" s="17">
        <f>янв!D12+фев!D12+мар!D12</f>
        <v/>
      </c>
      <c r="E12" s="17">
        <f>янв!E12+фев!E12+мар!E12</f>
        <v/>
      </c>
      <c r="F12" s="17">
        <f>янв!F12+фев!F12+мар!F12</f>
        <v/>
      </c>
      <c r="G12" s="17">
        <f>янв!G12+фев!G12+мар!G12</f>
        <v/>
      </c>
      <c r="H12" s="17">
        <f>янв!H12+фев!H12+мар!H12</f>
        <v/>
      </c>
      <c r="I12" s="17">
        <f>янв!I12+фев!I12+мар!I12</f>
        <v/>
      </c>
      <c r="J12" s="17">
        <f>янв!J12+фев!J12+мар!J12</f>
        <v/>
      </c>
      <c r="K12" s="17">
        <f>янв!K12+фев!K12+мар!K12</f>
        <v/>
      </c>
      <c r="L12" s="36">
        <f>янв!L12+фев!L12+мар!L12</f>
        <v/>
      </c>
    </row>
    <row r="13">
      <c r="A13" s="67" t="n"/>
      <c r="B13" s="9" t="inlineStr">
        <is>
          <t>пени</t>
        </is>
      </c>
      <c r="C13" s="17">
        <f>янв!C13+фев!C13+мар!C13</f>
        <v/>
      </c>
      <c r="D13" s="17">
        <f>янв!D13+фев!D13+мар!D13</f>
        <v/>
      </c>
      <c r="E13" s="17">
        <f>янв!E13+фев!E13+мар!E13</f>
        <v/>
      </c>
      <c r="F13" s="17">
        <f>янв!F13+фев!F13+мар!F13</f>
        <v/>
      </c>
      <c r="G13" s="17">
        <f>янв!G13+фев!G13+мар!G13</f>
        <v/>
      </c>
      <c r="H13" s="17">
        <f>янв!H13+фев!H13+мар!H13</f>
        <v/>
      </c>
      <c r="I13" s="17">
        <f>янв!I13+фев!I13+мар!I13</f>
        <v/>
      </c>
      <c r="J13" s="17">
        <f>янв!J13+фев!J13+мар!J13</f>
        <v/>
      </c>
      <c r="K13" s="17">
        <f>янв!K13+фев!K13+мар!K13</f>
        <v/>
      </c>
      <c r="L13" s="36">
        <f>янв!L13+фев!L13+мар!L13</f>
        <v/>
      </c>
    </row>
    <row r="14">
      <c r="A14" s="68" t="n"/>
      <c r="B14" s="15" t="inlineStr">
        <is>
          <t>г/п</t>
        </is>
      </c>
      <c r="C14" s="17">
        <f>янв!C14+фев!C14+мар!C14</f>
        <v/>
      </c>
      <c r="D14" s="17">
        <f>янв!D14+фев!D14+мар!D14</f>
        <v/>
      </c>
      <c r="E14" s="17">
        <f>янв!E14+фев!E14+мар!E14</f>
        <v/>
      </c>
      <c r="F14" s="17">
        <f>янв!F14+фев!F14+мар!F14</f>
        <v/>
      </c>
      <c r="G14" s="17">
        <f>янв!G14+фев!G14+мар!G14</f>
        <v/>
      </c>
      <c r="H14" s="17">
        <f>янв!H14+фев!H14+мар!H14</f>
        <v/>
      </c>
      <c r="I14" s="17">
        <f>янв!I14+фев!I14+мар!I14</f>
        <v/>
      </c>
      <c r="J14" s="17">
        <f>янв!J14+фев!J14+мар!J14</f>
        <v/>
      </c>
      <c r="K14" s="17">
        <f>янв!K14+фев!K14+мар!K14</f>
        <v/>
      </c>
      <c r="L14" s="36">
        <f>янв!L14+фев!L14+мар!L14</f>
        <v/>
      </c>
    </row>
    <row r="15">
      <c r="A15" s="4" t="inlineStr">
        <is>
          <t>Получено исполнительных документов</t>
        </is>
      </c>
      <c r="B15" s="9" t="inlineStr">
        <is>
          <t xml:space="preserve"> к-во </t>
        </is>
      </c>
      <c r="C15" s="17">
        <f>янв!C15+фев!C15+мар!C15</f>
        <v/>
      </c>
      <c r="D15" s="17">
        <f>янв!D15+фев!D15+мар!D15</f>
        <v/>
      </c>
      <c r="E15" s="17">
        <f>янв!E15+фев!E15+мар!E15</f>
        <v/>
      </c>
      <c r="F15" s="17">
        <f>янв!F15+фев!F15+мар!F15</f>
        <v/>
      </c>
      <c r="G15" s="17">
        <f>янв!G15+фев!G15+мар!G15</f>
        <v/>
      </c>
      <c r="H15" s="17">
        <f>янв!H15+фев!H15+мар!H15</f>
        <v/>
      </c>
      <c r="I15" s="17">
        <f>янв!I15+фев!I15+мар!I15</f>
        <v/>
      </c>
      <c r="J15" s="17">
        <f>янв!J15+фев!J15+мар!J15</f>
        <v/>
      </c>
      <c r="K15" s="17">
        <f>янв!K15+фев!K15+мар!K15</f>
        <v/>
      </c>
      <c r="L15" s="42">
        <f>янв!L15+фев!L15+мар!L15</f>
        <v/>
      </c>
    </row>
    <row r="16">
      <c r="A16" s="67" t="n"/>
      <c r="B16" s="9" t="inlineStr">
        <is>
          <t>долг</t>
        </is>
      </c>
      <c r="C16" s="17">
        <f>янв!C16+фев!C16+мар!C16</f>
        <v/>
      </c>
      <c r="D16" s="17">
        <f>янв!D16+фев!D16+мар!D16</f>
        <v/>
      </c>
      <c r="E16" s="17">
        <f>янв!E16+фев!E16+мар!E16</f>
        <v/>
      </c>
      <c r="F16" s="17">
        <f>янв!F16+фев!F16+мар!F16</f>
        <v/>
      </c>
      <c r="G16" s="17">
        <f>янв!G16+фев!G16+мар!G16</f>
        <v/>
      </c>
      <c r="H16" s="17">
        <f>янв!H16+фев!H16+мар!H16</f>
        <v/>
      </c>
      <c r="I16" s="17">
        <f>янв!I16+фев!I16+мар!I16</f>
        <v/>
      </c>
      <c r="J16" s="17">
        <f>янв!J16+фев!J16+мар!J16</f>
        <v/>
      </c>
      <c r="K16" s="17">
        <f>янв!K16+фев!K16+мар!K16</f>
        <v/>
      </c>
      <c r="L16" s="36">
        <f>янв!L16+фев!L16+мар!L16</f>
        <v/>
      </c>
    </row>
    <row r="17">
      <c r="A17" s="67" t="n"/>
      <c r="B17" s="9" t="inlineStr">
        <is>
          <t>пени</t>
        </is>
      </c>
      <c r="C17" s="17">
        <f>янв!C17+фев!C17+мар!C17</f>
        <v/>
      </c>
      <c r="D17" s="17">
        <f>янв!D17+фев!D17+мар!D17</f>
        <v/>
      </c>
      <c r="E17" s="17">
        <f>янв!E17+фев!E17+мар!E17</f>
        <v/>
      </c>
      <c r="F17" s="17">
        <f>янв!F17+фев!F17+мар!F17</f>
        <v/>
      </c>
      <c r="G17" s="17">
        <f>янв!G17+фев!G17+мар!G17</f>
        <v/>
      </c>
      <c r="H17" s="17">
        <f>янв!H17+фев!H17+мар!H17</f>
        <v/>
      </c>
      <c r="I17" s="17">
        <f>янв!I17+фев!I17+мар!I17</f>
        <v/>
      </c>
      <c r="J17" s="17">
        <f>янв!J17+фев!J17+мар!J17</f>
        <v/>
      </c>
      <c r="K17" s="17">
        <f>янв!K17+фев!K17+мар!K17</f>
        <v/>
      </c>
      <c r="L17" s="36">
        <f>янв!L17+фев!L17+мар!L17</f>
        <v/>
      </c>
    </row>
    <row r="18">
      <c r="A18" s="68" t="n"/>
      <c r="B18" s="15" t="inlineStr">
        <is>
          <t>г/п</t>
        </is>
      </c>
      <c r="C18" s="17">
        <f>янв!C18+фев!C18+мар!C18</f>
        <v/>
      </c>
      <c r="D18" s="17">
        <f>янв!D18+фев!D18+мар!D18</f>
        <v/>
      </c>
      <c r="E18" s="17">
        <f>янв!E18+фев!E18+мар!E18</f>
        <v/>
      </c>
      <c r="F18" s="17">
        <f>янв!F18+фев!F18+мар!F18</f>
        <v/>
      </c>
      <c r="G18" s="17">
        <f>янв!G18+фев!G18+мар!G18</f>
        <v/>
      </c>
      <c r="H18" s="17">
        <f>янв!H18+фев!H18+мар!H18</f>
        <v/>
      </c>
      <c r="I18" s="17">
        <f>янв!I18+фев!I18+мар!I18</f>
        <v/>
      </c>
      <c r="J18" s="17">
        <f>янв!J18+фев!J18+мар!J18</f>
        <v/>
      </c>
      <c r="K18" s="17">
        <f>янв!K18+фев!K18+мар!K18</f>
        <v/>
      </c>
      <c r="L18" s="36">
        <f>янв!L18+фев!L18+мар!L18</f>
        <v/>
      </c>
    </row>
    <row r="19">
      <c r="A19" s="4" t="inlineStr">
        <is>
          <t>Отказ от иска в связи с оплатой долга</t>
        </is>
      </c>
      <c r="B19" s="15" t="inlineStr">
        <is>
          <t>к-во</t>
        </is>
      </c>
      <c r="C19" s="17">
        <f>янв!C19+фев!C19+мар!C19</f>
        <v/>
      </c>
      <c r="D19" s="17">
        <f>янв!D19+фев!D19+мар!D19</f>
        <v/>
      </c>
      <c r="E19" s="17">
        <f>янв!E19+фев!E19+мар!E19</f>
        <v/>
      </c>
      <c r="F19" s="17">
        <f>янв!F19+фев!F19+мар!F19</f>
        <v/>
      </c>
      <c r="G19" s="17">
        <f>янв!G19+фев!G19+мар!G19</f>
        <v/>
      </c>
      <c r="H19" s="17">
        <f>янв!H19+фев!H19+мар!H19</f>
        <v/>
      </c>
      <c r="I19" s="17">
        <f>янв!I19+фев!I19+мар!I19</f>
        <v/>
      </c>
      <c r="J19" s="17">
        <f>янв!J19+фев!J19+мар!J19</f>
        <v/>
      </c>
      <c r="K19" s="17">
        <f>янв!K19+фев!K19+мар!K19</f>
        <v/>
      </c>
      <c r="L19" s="42">
        <f>янв!L19+фев!L19+мар!L19</f>
        <v/>
      </c>
    </row>
    <row r="20">
      <c r="A20" s="67" t="n"/>
      <c r="B20" s="9" t="inlineStr">
        <is>
          <t>долг</t>
        </is>
      </c>
      <c r="C20" s="17">
        <f>янв!C20+фев!C20+мар!C20</f>
        <v/>
      </c>
      <c r="D20" s="17">
        <f>янв!D20+фев!D20+мар!D20</f>
        <v/>
      </c>
      <c r="E20" s="17">
        <f>янв!E20+фев!E20+мар!E20</f>
        <v/>
      </c>
      <c r="F20" s="17">
        <f>янв!F20+фев!F20+мар!F20</f>
        <v/>
      </c>
      <c r="G20" s="17">
        <f>янв!G20+фев!G20+мар!G20</f>
        <v/>
      </c>
      <c r="H20" s="17">
        <f>янв!H20+фев!H20+мар!H20</f>
        <v/>
      </c>
      <c r="I20" s="17">
        <f>янв!I20+фев!I20+мар!I20</f>
        <v/>
      </c>
      <c r="J20" s="17">
        <f>янв!J20+фев!J20+мар!J20</f>
        <v/>
      </c>
      <c r="K20" s="17">
        <f>янв!K20+фев!K20+мар!K20</f>
        <v/>
      </c>
      <c r="L20" s="36">
        <f>янв!L20+фев!L20+мар!L20</f>
        <v/>
      </c>
    </row>
    <row r="21">
      <c r="A21" s="68" t="n"/>
      <c r="B21" s="9" t="inlineStr">
        <is>
          <t>пени</t>
        </is>
      </c>
      <c r="C21" s="17">
        <f>янв!C21+фев!C21+мар!C21</f>
        <v/>
      </c>
      <c r="D21" s="17">
        <f>янв!D21+фев!D21+мар!D21</f>
        <v/>
      </c>
      <c r="E21" s="17">
        <f>янв!E21+фев!E21+мар!E21</f>
        <v/>
      </c>
      <c r="F21" s="17">
        <f>янв!F21+фев!F21+мар!F21</f>
        <v/>
      </c>
      <c r="G21" s="17">
        <f>янв!G21+фев!G21+мар!G21</f>
        <v/>
      </c>
      <c r="H21" s="17">
        <f>янв!H21+фев!H21+мар!H21</f>
        <v/>
      </c>
      <c r="I21" s="17">
        <f>янв!I21+фев!I21+мар!I21</f>
        <v/>
      </c>
      <c r="J21" s="17">
        <f>янв!J21+фев!J21+мар!J21</f>
        <v/>
      </c>
      <c r="K21" s="17">
        <f>янв!K21+фев!K21+мар!K21</f>
        <v/>
      </c>
      <c r="L21" s="36">
        <f>янв!L21+фев!L21+мар!L21</f>
        <v/>
      </c>
    </row>
    <row r="22">
      <c r="A22" s="4" t="inlineStr">
        <is>
          <t>Направлено исполнительных документов в УФССП, ПФ РФ, Сбербанк РФ</t>
        </is>
      </c>
      <c r="B22" s="15" t="inlineStr">
        <is>
          <t>к-во/р.с</t>
        </is>
      </c>
      <c r="C22" s="17" t="inlineStr">
        <is>
          <t>40/22</t>
        </is>
      </c>
      <c r="D22" s="17" t="inlineStr">
        <is>
          <t>103/65</t>
        </is>
      </c>
      <c r="E22" s="17" t="n">
        <v>0</v>
      </c>
      <c r="F22" s="17" t="n">
        <v>0</v>
      </c>
      <c r="G22" s="17" t="inlineStr">
        <is>
          <t>108/72</t>
        </is>
      </c>
      <c r="H22" s="17" t="inlineStr">
        <is>
          <t>120/77</t>
        </is>
      </c>
      <c r="I22" s="17" t="n">
        <v>0</v>
      </c>
      <c r="J22" s="17" t="inlineStr">
        <is>
          <t>44/20</t>
        </is>
      </c>
      <c r="K22" s="17" t="n">
        <v>0</v>
      </c>
      <c r="L22" s="42" t="inlineStr">
        <is>
          <t>415/256</t>
        </is>
      </c>
    </row>
    <row r="23">
      <c r="A23" s="67" t="n"/>
      <c r="B23" s="9" t="inlineStr">
        <is>
          <t>долг</t>
        </is>
      </c>
      <c r="C23" s="17">
        <f>янв!C23+фев!C23+мар!C23</f>
        <v/>
      </c>
      <c r="D23" s="17">
        <f>янв!D23+фев!D23+мар!D23</f>
        <v/>
      </c>
      <c r="E23" s="17">
        <f>янв!E23+фев!E23+мар!E23</f>
        <v/>
      </c>
      <c r="F23" s="17">
        <f>янв!F23+фев!F23+мар!F23</f>
        <v/>
      </c>
      <c r="G23" s="17">
        <f>янв!G23+фев!G23+мар!G23</f>
        <v/>
      </c>
      <c r="H23" s="17">
        <f>янв!H23+фев!H23+мар!H23</f>
        <v/>
      </c>
      <c r="I23" s="17">
        <f>янв!I23+фев!I23+мар!I23</f>
        <v/>
      </c>
      <c r="J23" s="17">
        <f>янв!J23+фев!J23+мар!J23</f>
        <v/>
      </c>
      <c r="K23" s="17">
        <f>янв!K23+фев!K23+мар!K23</f>
        <v/>
      </c>
      <c r="L23" s="36">
        <f>янв!L23+фев!L23+мар!L23</f>
        <v/>
      </c>
    </row>
    <row r="24">
      <c r="A24" s="67" t="n"/>
      <c r="B24" s="9" t="inlineStr">
        <is>
          <t>пени</t>
        </is>
      </c>
      <c r="C24" s="17">
        <f>янв!C24+фев!C24+мар!C24</f>
        <v/>
      </c>
      <c r="D24" s="17">
        <f>янв!D24+фев!D24+мар!D24</f>
        <v/>
      </c>
      <c r="E24" s="17">
        <f>янв!E24+фев!E24+мар!E24</f>
        <v/>
      </c>
      <c r="F24" s="17">
        <f>янв!F24+фев!F24+мар!F24</f>
        <v/>
      </c>
      <c r="G24" s="17">
        <f>янв!G24+фев!G24+мар!G24</f>
        <v/>
      </c>
      <c r="H24" s="17">
        <f>янв!H24+фев!H24+мар!H24</f>
        <v/>
      </c>
      <c r="I24" s="17">
        <f>янв!I24+фев!I24+мар!I24</f>
        <v/>
      </c>
      <c r="J24" s="17">
        <f>янв!J24+фев!J24+мар!J24</f>
        <v/>
      </c>
      <c r="K24" s="17">
        <f>янв!K24+фев!K24+мар!K24</f>
        <v/>
      </c>
      <c r="L24" s="36">
        <f>янв!L24+фев!L24+мар!L24</f>
        <v/>
      </c>
    </row>
    <row r="25">
      <c r="A25" s="68" t="n"/>
      <c r="B25" s="15" t="inlineStr">
        <is>
          <t>г/п</t>
        </is>
      </c>
      <c r="C25" s="17">
        <f>янв!C25+фев!C25+мар!C25</f>
        <v/>
      </c>
      <c r="D25" s="17">
        <f>янв!D25+фев!D25+мар!D25</f>
        <v/>
      </c>
      <c r="E25" s="17">
        <f>янв!E25+фев!E25+мар!E25</f>
        <v/>
      </c>
      <c r="F25" s="17">
        <f>янв!F25+фев!F25+мар!F25</f>
        <v/>
      </c>
      <c r="G25" s="17">
        <f>янв!G25+фев!G25+мар!G25</f>
        <v/>
      </c>
      <c r="H25" s="17">
        <f>янв!H25+фев!H25+мар!H25</f>
        <v/>
      </c>
      <c r="I25" s="17">
        <f>янв!I25+фев!I25+мар!I25</f>
        <v/>
      </c>
      <c r="J25" s="17">
        <f>янв!J25+фев!J25+мар!J25</f>
        <v/>
      </c>
      <c r="K25" s="17">
        <f>янв!K25+фев!K25+мар!K25</f>
        <v/>
      </c>
      <c r="L25" s="36">
        <f>янв!L25+фев!L25+мар!L25</f>
        <v/>
      </c>
    </row>
    <row r="26">
      <c r="A26" s="4" t="inlineStr">
        <is>
          <t>Оплачено   г/п (по физ.лицам)</t>
        </is>
      </c>
      <c r="B26" s="15" t="inlineStr">
        <is>
          <t>сумма</t>
        </is>
      </c>
      <c r="C26" s="17">
        <f>янв!C26+фев!C26+мар!C26</f>
        <v/>
      </c>
      <c r="D26" s="17">
        <f>янв!D26+фев!D26+мар!D26</f>
        <v/>
      </c>
      <c r="E26" s="17">
        <f>янв!E26+фев!E26+мар!E26</f>
        <v/>
      </c>
      <c r="F26" s="17">
        <f>янв!F26+фев!F26+мар!F26</f>
        <v/>
      </c>
      <c r="G26" s="17">
        <f>янв!G26+фев!G26+мар!G26</f>
        <v/>
      </c>
      <c r="H26" s="17">
        <f>янв!H26+фев!H26+мар!H26</f>
        <v/>
      </c>
      <c r="I26" s="17">
        <f>янв!I26+фев!I26+мар!I26</f>
        <v/>
      </c>
      <c r="J26" s="17">
        <f>янв!J26+фев!J26+мар!J26</f>
        <v/>
      </c>
      <c r="K26" s="17">
        <f>янв!K26+фев!K26+мар!K26</f>
        <v/>
      </c>
      <c r="L26" s="36">
        <f>янв!L26+фев!L26+мар!L26</f>
        <v/>
      </c>
    </row>
    <row r="27">
      <c r="A27" s="4" t="inlineStr">
        <is>
          <t>Применен судом срок исковой давности</t>
        </is>
      </c>
      <c r="B27" s="15" t="inlineStr">
        <is>
          <t>к-во</t>
        </is>
      </c>
      <c r="C27" s="17">
        <f>янв!C27+фев!C27+мар!C27</f>
        <v/>
      </c>
      <c r="D27" s="17">
        <f>янв!D27+фев!D27+мар!D27</f>
        <v/>
      </c>
      <c r="E27" s="17">
        <f>янв!E27+фев!E27+мар!E27</f>
        <v/>
      </c>
      <c r="F27" s="17">
        <f>янв!F27+фев!F27+мар!F27</f>
        <v/>
      </c>
      <c r="G27" s="17">
        <f>янв!G27+фев!G27+мар!G27</f>
        <v/>
      </c>
      <c r="H27" s="17">
        <f>янв!H27+фев!H27+мар!H27</f>
        <v/>
      </c>
      <c r="I27" s="17">
        <f>янв!I27+фев!I27+мар!I27</f>
        <v/>
      </c>
      <c r="J27" s="17">
        <f>янв!J27+фев!J27+мар!J27</f>
        <v/>
      </c>
      <c r="K27" s="17">
        <f>янв!K27+фев!K27+мар!K27</f>
        <v/>
      </c>
      <c r="L27" s="42">
        <f>янв!L27+фев!L27+мар!L27</f>
        <v/>
      </c>
    </row>
    <row r="28">
      <c r="A28" s="68" t="n"/>
      <c r="B28" s="15" t="inlineStr">
        <is>
          <t>сумма</t>
        </is>
      </c>
      <c r="C28" s="17">
        <f>янв!C28+фев!C28+мар!C28</f>
        <v/>
      </c>
      <c r="D28" s="17">
        <f>янв!D28+фев!D28+мар!D28</f>
        <v/>
      </c>
      <c r="E28" s="17">
        <f>янв!E28+фев!E28+мар!E28</f>
        <v/>
      </c>
      <c r="F28" s="17">
        <f>янв!F28+фев!F28+мар!F28</f>
        <v/>
      </c>
      <c r="G28" s="17">
        <f>янв!G28+фев!G28+мар!G28</f>
        <v/>
      </c>
      <c r="H28" s="17">
        <f>янв!H28+фев!H28+мар!H28</f>
        <v/>
      </c>
      <c r="I28" s="17">
        <f>янв!I28+фев!I28+мар!I28</f>
        <v/>
      </c>
      <c r="J28" s="17">
        <f>янв!J28+фев!J28+мар!J28</f>
        <v/>
      </c>
      <c r="K28" s="17">
        <f>янв!K28+фев!K28+мар!K28</f>
        <v/>
      </c>
      <c r="L28" s="42">
        <f>янв!L28+фев!L28+мар!L28</f>
        <v/>
      </c>
    </row>
    <row r="29">
      <c r="A29" s="4" t="inlineStr">
        <is>
          <t xml:space="preserve">Возвращено ден. ср. через ССП (сумма) </t>
        </is>
      </c>
      <c r="B29" s="9" t="inlineStr">
        <is>
          <t>долг</t>
        </is>
      </c>
      <c r="C29" s="17">
        <f>янв!C29+фев!C29+мар!C29</f>
        <v/>
      </c>
      <c r="D29" s="17">
        <f>янв!D29+фев!D29+мар!D29</f>
        <v/>
      </c>
      <c r="E29" s="17">
        <f>янв!E29+фев!E29+мар!E29</f>
        <v/>
      </c>
      <c r="F29" s="17">
        <f>янв!F29+фев!F29+мар!F29</f>
        <v/>
      </c>
      <c r="G29" s="17">
        <f>янв!G29+фев!G29+мар!G29</f>
        <v/>
      </c>
      <c r="H29" s="17">
        <f>янв!H29+фев!H29+мар!H29</f>
        <v/>
      </c>
      <c r="I29" s="17">
        <f>янв!I29+фев!I29+мар!I29</f>
        <v/>
      </c>
      <c r="J29" s="17">
        <f>янв!J29+фев!J29+мар!J29</f>
        <v/>
      </c>
      <c r="K29" s="17">
        <f>янв!K29+фев!K29+мар!K29</f>
        <v/>
      </c>
      <c r="L29" s="36">
        <f>янв!L29+фев!L29+мар!L29</f>
        <v/>
      </c>
    </row>
    <row r="30">
      <c r="A30" s="68" t="n"/>
      <c r="B30" s="9" t="inlineStr">
        <is>
          <t>пени</t>
        </is>
      </c>
      <c r="C30" s="17">
        <f>янв!C30+фев!C30+мар!C30</f>
        <v/>
      </c>
      <c r="D30" s="17">
        <f>янв!D30+фев!D30+мар!D30</f>
        <v/>
      </c>
      <c r="E30" s="17">
        <f>янв!E30+фев!E30+мар!E30</f>
        <v/>
      </c>
      <c r="F30" s="17">
        <f>янв!F30+фев!F30+мар!F30</f>
        <v/>
      </c>
      <c r="G30" s="17">
        <f>янв!G30+фев!G30+мар!G30</f>
        <v/>
      </c>
      <c r="H30" s="17">
        <f>янв!H30+фев!H30+мар!H30</f>
        <v/>
      </c>
      <c r="I30" s="17">
        <f>янв!I30+фев!I30+мар!I30</f>
        <v/>
      </c>
      <c r="J30" s="17">
        <f>янв!J30+фев!J30+мар!J30</f>
        <v/>
      </c>
      <c r="K30" s="17">
        <f>янв!K30+фев!K30+мар!K30</f>
        <v/>
      </c>
      <c r="L30" s="36">
        <f>янв!L30+фев!L30+мар!L30</f>
        <v/>
      </c>
    </row>
    <row r="31" ht="25.5" customHeight="1">
      <c r="A31" s="26" t="inlineStr">
        <is>
          <t xml:space="preserve">Возвращено ден. ср. через СБ и Пенсионный  (сумма) </t>
        </is>
      </c>
      <c r="B31" s="9" t="inlineStr">
        <is>
          <t>долг</t>
        </is>
      </c>
      <c r="C31" s="17">
        <f>янв!C31+фев!C31+мар!C31</f>
        <v/>
      </c>
      <c r="D31" s="17">
        <f>янв!D31+фев!D31+мар!D31</f>
        <v/>
      </c>
      <c r="E31" s="17">
        <f>янв!E31+фев!E31+мар!E31</f>
        <v/>
      </c>
      <c r="F31" s="17">
        <f>янв!F31+фев!F31+мар!F31</f>
        <v/>
      </c>
      <c r="G31" s="17">
        <f>янв!G31+фев!G31+мар!G31</f>
        <v/>
      </c>
      <c r="H31" s="17">
        <f>янв!H31+фев!H31+мар!H31</f>
        <v/>
      </c>
      <c r="I31" s="17">
        <f>янв!I31+фев!I31+мар!I31</f>
        <v/>
      </c>
      <c r="J31" s="17">
        <f>янв!J31+фев!J31+мар!J31</f>
        <v/>
      </c>
      <c r="K31" s="17">
        <f>янв!K31+фев!K31+мар!K31</f>
        <v/>
      </c>
      <c r="L31" s="36">
        <f>янв!L31+фев!L31+мар!L31</f>
        <v/>
      </c>
    </row>
    <row r="32">
      <c r="A32" s="69" t="inlineStr">
        <is>
          <t>Предъявлено исковых заявлений</t>
        </is>
      </c>
      <c r="B32" s="9" t="inlineStr">
        <is>
          <t>к-во</t>
        </is>
      </c>
      <c r="C32" s="17">
        <f>янв!C32+фев!C32+мар!C32</f>
        <v/>
      </c>
      <c r="D32" s="17">
        <f>янв!D32+фев!D32+мар!D32</f>
        <v/>
      </c>
      <c r="E32" s="17">
        <f>янв!E32+фев!E32+мар!E32</f>
        <v/>
      </c>
      <c r="F32" s="17">
        <f>янв!F32+фев!F32+мар!F32</f>
        <v/>
      </c>
      <c r="G32" s="17">
        <f>янв!G32+фев!G32+мар!G32</f>
        <v/>
      </c>
      <c r="H32" s="17">
        <f>янв!H32+фев!H32+мар!H32</f>
        <v/>
      </c>
      <c r="I32" s="17">
        <f>янв!I32+фев!I32+мар!I32</f>
        <v/>
      </c>
      <c r="J32" s="17">
        <f>янв!J32+фев!J32+мар!J32</f>
        <v/>
      </c>
      <c r="K32" s="17">
        <f>янв!K32+фев!K32+мар!K32</f>
        <v/>
      </c>
      <c r="L32" s="42">
        <f>янв!L32+фев!L32+мар!L32</f>
        <v/>
      </c>
    </row>
    <row r="33">
      <c r="A33" s="67" t="n"/>
      <c r="B33" s="9" t="inlineStr">
        <is>
          <t>долг</t>
        </is>
      </c>
      <c r="C33" s="17">
        <f>янв!C33+фев!C33+мар!C33</f>
        <v/>
      </c>
      <c r="D33" s="17">
        <f>янв!D33+фев!D33+мар!D33</f>
        <v/>
      </c>
      <c r="E33" s="17">
        <f>янв!E33+фев!E33+мар!E33</f>
        <v/>
      </c>
      <c r="F33" s="17">
        <f>янв!F33+фев!F33+мар!F33</f>
        <v/>
      </c>
      <c r="G33" s="17">
        <f>янв!G33+фев!G33+мар!G33</f>
        <v/>
      </c>
      <c r="H33" s="17">
        <f>янв!H33+фев!H33+мар!H33</f>
        <v/>
      </c>
      <c r="I33" s="17">
        <f>янв!I33+фев!I33+мар!I33</f>
        <v/>
      </c>
      <c r="J33" s="17">
        <f>янв!J33+фев!J33+мар!J33</f>
        <v/>
      </c>
      <c r="K33" s="17">
        <f>янв!K33+фев!K33+мар!K33</f>
        <v/>
      </c>
      <c r="L33" s="36">
        <f>янв!L33+фев!L33+мар!L33</f>
        <v/>
      </c>
    </row>
    <row r="34">
      <c r="A34" s="67" t="n"/>
      <c r="B34" s="9" t="inlineStr">
        <is>
          <t>пени</t>
        </is>
      </c>
      <c r="C34" s="17">
        <f>янв!C34+фев!C34+мар!C34</f>
        <v/>
      </c>
      <c r="D34" s="17">
        <f>янв!D34+фев!D34+мар!D34</f>
        <v/>
      </c>
      <c r="E34" s="17">
        <f>янв!E34+фев!E34+мар!E34</f>
        <v/>
      </c>
      <c r="F34" s="17">
        <f>янв!F34+фев!F34+мар!F34</f>
        <v/>
      </c>
      <c r="G34" s="17">
        <f>янв!G34+фев!G34+мар!G34</f>
        <v/>
      </c>
      <c r="H34" s="17">
        <f>янв!H34+фев!H34+мар!H34</f>
        <v/>
      </c>
      <c r="I34" s="17">
        <f>янв!I34+фев!I34+мар!I34</f>
        <v/>
      </c>
      <c r="J34" s="17">
        <f>янв!J34+фев!J34+мар!J34</f>
        <v/>
      </c>
      <c r="K34" s="17">
        <f>янв!K34+фев!K34+мар!K34</f>
        <v/>
      </c>
      <c r="L34" s="36">
        <f>янв!L34+фев!L34+мар!L34</f>
        <v/>
      </c>
    </row>
    <row r="35">
      <c r="A35" s="68" t="n"/>
      <c r="B35" s="15" t="inlineStr">
        <is>
          <t>г/п</t>
        </is>
      </c>
      <c r="C35" s="17">
        <f>янв!C35+фев!C35+мар!C35</f>
        <v/>
      </c>
      <c r="D35" s="17">
        <f>янв!D35+фев!D35+мар!D35</f>
        <v/>
      </c>
      <c r="E35" s="17">
        <f>янв!E35+фев!E35+мар!E35</f>
        <v/>
      </c>
      <c r="F35" s="17">
        <f>янв!F35+фев!F35+мар!F35</f>
        <v/>
      </c>
      <c r="G35" s="17">
        <f>янв!G35+фев!G35+мар!G35</f>
        <v/>
      </c>
      <c r="H35" s="17">
        <f>янв!H35+фев!H35+мар!H35</f>
        <v/>
      </c>
      <c r="I35" s="17">
        <f>янв!I35+фев!I35+мар!I35</f>
        <v/>
      </c>
      <c r="J35" s="17">
        <f>янв!J35+фев!J35+мар!J35</f>
        <v/>
      </c>
      <c r="K35" s="17">
        <f>янв!K35+фев!K35+мар!K35</f>
        <v/>
      </c>
      <c r="L35" s="36">
        <f>янв!L35+фев!L35+мар!L35</f>
        <v/>
      </c>
    </row>
    <row r="36">
      <c r="A36" s="4" t="inlineStr">
        <is>
          <t>Удовлетворено в пользу АО "Омск РТС" исковых заявлений</t>
        </is>
      </c>
      <c r="B36" s="9" t="inlineStr">
        <is>
          <t xml:space="preserve"> к-во </t>
        </is>
      </c>
      <c r="C36" s="17">
        <f>янв!C36+фев!C36+мар!C36</f>
        <v/>
      </c>
      <c r="D36" s="17">
        <f>янв!D36+фев!D36+мар!D36</f>
        <v/>
      </c>
      <c r="E36" s="17">
        <f>янв!E36+фев!E36+мар!E36</f>
        <v/>
      </c>
      <c r="F36" s="17">
        <f>янв!F36+фев!F36+мар!F36</f>
        <v/>
      </c>
      <c r="G36" s="17">
        <f>янв!G36+фев!G36+мар!G36</f>
        <v/>
      </c>
      <c r="H36" s="17">
        <f>янв!H36+фев!H36+мар!H36</f>
        <v/>
      </c>
      <c r="I36" s="17">
        <f>янв!I36+фев!I36+мар!I36</f>
        <v/>
      </c>
      <c r="J36" s="17">
        <f>янв!J36+фев!J36+мар!J36</f>
        <v/>
      </c>
      <c r="K36" s="17">
        <f>янв!K36+фев!K36+мар!K36</f>
        <v/>
      </c>
      <c r="L36" s="42">
        <f>янв!L36+фев!L36+мар!L36</f>
        <v/>
      </c>
    </row>
    <row r="37">
      <c r="A37" s="67" t="n"/>
      <c r="B37" s="9" t="inlineStr">
        <is>
          <t>долг</t>
        </is>
      </c>
      <c r="C37" s="17">
        <f>янв!C37+фев!C37+мар!C37</f>
        <v/>
      </c>
      <c r="D37" s="17">
        <f>янв!D37+фев!D37+мар!D37</f>
        <v/>
      </c>
      <c r="E37" s="17">
        <f>янв!E37+фев!E37+мар!E37</f>
        <v/>
      </c>
      <c r="F37" s="17">
        <f>янв!F37+фев!F37+мар!F37</f>
        <v/>
      </c>
      <c r="G37" s="17">
        <f>янв!G37+фев!G37+мар!G37</f>
        <v/>
      </c>
      <c r="H37" s="17">
        <f>янв!H37+фев!H37+мар!H37</f>
        <v/>
      </c>
      <c r="I37" s="17">
        <f>янв!I37+фев!I37+мар!I37</f>
        <v/>
      </c>
      <c r="J37" s="17">
        <f>янв!J37+фев!J37+мар!J37</f>
        <v/>
      </c>
      <c r="K37" s="17">
        <f>янв!K37+фев!K37+мар!K37</f>
        <v/>
      </c>
      <c r="L37" s="36">
        <f>янв!L37+фев!L37+мар!L37</f>
        <v/>
      </c>
    </row>
    <row r="38">
      <c r="A38" s="67" t="n"/>
      <c r="B38" s="9" t="inlineStr">
        <is>
          <t>пени</t>
        </is>
      </c>
      <c r="C38" s="17">
        <f>янв!C38+фев!C38+мар!C38</f>
        <v/>
      </c>
      <c r="D38" s="17">
        <f>янв!D38+фев!D38+мар!D38</f>
        <v/>
      </c>
      <c r="E38" s="17">
        <f>янв!E38+фев!E38+мар!E38</f>
        <v/>
      </c>
      <c r="F38" s="17">
        <f>янв!F38+фев!F38+мар!F38</f>
        <v/>
      </c>
      <c r="G38" s="17">
        <f>янв!G38+фев!G38+мар!G38</f>
        <v/>
      </c>
      <c r="H38" s="17">
        <f>янв!H38+фев!H38+мар!H38</f>
        <v/>
      </c>
      <c r="I38" s="17">
        <f>янв!I38+фев!I38+мар!I38</f>
        <v/>
      </c>
      <c r="J38" s="17">
        <f>янв!J38+фев!J38+мар!J38</f>
        <v/>
      </c>
      <c r="K38" s="17">
        <f>янв!K38+фев!K38+мар!K38</f>
        <v/>
      </c>
      <c r="L38" s="36">
        <f>янв!L38+фев!L38+мар!L38</f>
        <v/>
      </c>
    </row>
    <row r="39">
      <c r="A39" s="68" t="n"/>
      <c r="B39" s="15" t="inlineStr">
        <is>
          <t>г/п</t>
        </is>
      </c>
      <c r="C39" s="17">
        <f>янв!C39+фев!C39+мар!C39</f>
        <v/>
      </c>
      <c r="D39" s="17">
        <f>янв!D39+фев!D39+мар!D39</f>
        <v/>
      </c>
      <c r="E39" s="17">
        <f>янв!E39+фев!E39+мар!E39</f>
        <v/>
      </c>
      <c r="F39" s="17">
        <f>янв!F39+фев!F39+мар!F39</f>
        <v/>
      </c>
      <c r="G39" s="17">
        <f>янв!G39+фев!G39+мар!G39</f>
        <v/>
      </c>
      <c r="H39" s="17">
        <f>янв!H39+фев!H39+мар!H39</f>
        <v/>
      </c>
      <c r="I39" s="17">
        <f>янв!I39+фев!I39+мар!I39</f>
        <v/>
      </c>
      <c r="J39" s="17">
        <f>янв!J39+фев!J39+мар!J39</f>
        <v/>
      </c>
      <c r="K39" s="17">
        <f>янв!K39+фев!K39+мар!K39</f>
        <v/>
      </c>
      <c r="L39" s="36">
        <f>янв!L39+фев!L39+мар!L39</f>
        <v/>
      </c>
    </row>
    <row r="40" ht="25.5" customHeight="1">
      <c r="A40" s="4" t="inlineStr">
        <is>
          <t>Подготовка правового заключения о списании ДЗ</t>
        </is>
      </c>
      <c r="B40" s="9" t="inlineStr">
        <is>
          <t xml:space="preserve"> к-во </t>
        </is>
      </c>
      <c r="C40" s="17">
        <f>янв!C40+фев!C40+мар!C40</f>
        <v/>
      </c>
      <c r="D40" s="17">
        <f>янв!D40+фев!D40+мар!D40</f>
        <v/>
      </c>
      <c r="E40" s="17">
        <f>янв!E40+фев!E40+мар!E40</f>
        <v/>
      </c>
      <c r="F40" s="17">
        <f>янв!F40+фев!F40+мар!F40</f>
        <v/>
      </c>
      <c r="G40" s="17">
        <f>янв!G40+фев!G40+мар!G40</f>
        <v/>
      </c>
      <c r="H40" s="17">
        <f>янв!H40+фев!H40+мар!H40</f>
        <v/>
      </c>
      <c r="I40" s="17">
        <f>янв!I40+фев!I40+мар!I40</f>
        <v/>
      </c>
      <c r="J40" s="17">
        <f>янв!J40+фев!J40+мар!J40</f>
        <v/>
      </c>
      <c r="K40" s="17">
        <f>янв!K40+фев!K40+мар!K40</f>
        <v/>
      </c>
      <c r="L40" s="42">
        <f>янв!L40+фев!L40+мар!L40</f>
        <v/>
      </c>
    </row>
    <row r="41" ht="25.5" customHeight="1">
      <c r="A41" s="4" t="inlineStr">
        <is>
          <t>Выдача документов в ССП, в СБ РФ</t>
        </is>
      </c>
      <c r="B41" s="9" t="inlineStr">
        <is>
          <t xml:space="preserve"> к-во </t>
        </is>
      </c>
      <c r="C41" s="17">
        <f>янв!C41+фев!C41+мар!C41</f>
        <v/>
      </c>
      <c r="D41" s="17">
        <f>янв!D41+фев!D41+мар!D41</f>
        <v/>
      </c>
      <c r="E41" s="17">
        <f>янв!E41+фев!E41+мар!E41</f>
        <v/>
      </c>
      <c r="F41" s="17">
        <f>янв!F41+фев!F41+мар!F41</f>
        <v/>
      </c>
      <c r="G41" s="17">
        <f>янв!G41+фев!G41+мар!G41</f>
        <v/>
      </c>
      <c r="H41" s="17">
        <f>янв!H41+фев!H41+мар!H41</f>
        <v/>
      </c>
      <c r="I41" s="17">
        <f>янв!I41+фев!I41+мар!I41</f>
        <v/>
      </c>
      <c r="J41" s="17">
        <f>янв!J41+фев!J41+мар!J41</f>
        <v/>
      </c>
      <c r="K41" s="17">
        <f>янв!K41+фев!K41+мар!K41</f>
        <v/>
      </c>
      <c r="L41" s="42">
        <f>янв!L41+фев!L41+мар!L41</f>
        <v/>
      </c>
    </row>
    <row r="42">
      <c r="A42" s="4" t="inlineStr">
        <is>
          <t>Отмена судебного приказа</t>
        </is>
      </c>
      <c r="B42" s="9" t="inlineStr">
        <is>
          <t xml:space="preserve"> к-во </t>
        </is>
      </c>
      <c r="C42" s="17">
        <f>янв!C42+фев!C42+мар!C42</f>
        <v/>
      </c>
      <c r="D42" s="17">
        <f>янв!D42+фев!D42+мар!D42</f>
        <v/>
      </c>
      <c r="E42" s="17">
        <f>янв!E42+фев!E42+мар!E42</f>
        <v/>
      </c>
      <c r="F42" s="17">
        <f>янв!F42+фев!F42+мар!F42</f>
        <v/>
      </c>
      <c r="G42" s="17">
        <f>янв!G42+фев!G42+мар!G42</f>
        <v/>
      </c>
      <c r="H42" s="17">
        <f>янв!H42+фев!H42+мар!H42</f>
        <v/>
      </c>
      <c r="I42" s="17">
        <f>янв!I42+фев!I42+мар!I42</f>
        <v/>
      </c>
      <c r="J42" s="17">
        <f>янв!J42+фев!J42+мар!J42</f>
        <v/>
      </c>
      <c r="K42" s="17">
        <f>янв!K42+фев!K42+мар!K42</f>
        <v/>
      </c>
      <c r="L42" s="42">
        <f>янв!L42+фев!L42+мар!L42</f>
        <v/>
      </c>
    </row>
    <row r="43">
      <c r="A43" s="67" t="n"/>
      <c r="B43" s="9" t="inlineStr">
        <is>
          <t>долг</t>
        </is>
      </c>
      <c r="C43" s="17">
        <f>янв!C43+фев!C43+мар!C43</f>
        <v/>
      </c>
      <c r="D43" s="17">
        <f>янв!D43+фев!D43+мар!D43</f>
        <v/>
      </c>
      <c r="E43" s="17">
        <f>янв!E43+фев!E43+мар!E43</f>
        <v/>
      </c>
      <c r="F43" s="17">
        <f>янв!F43+фев!F43+мар!F43</f>
        <v/>
      </c>
      <c r="G43" s="17">
        <f>янв!G43+фев!G43+мар!G43</f>
        <v/>
      </c>
      <c r="H43" s="17">
        <f>янв!H43+фев!H43+мар!H43</f>
        <v/>
      </c>
      <c r="I43" s="17">
        <f>янв!I43+фев!I43+мар!I43</f>
        <v/>
      </c>
      <c r="J43" s="17">
        <f>янв!J43+фев!J43+мар!J43</f>
        <v/>
      </c>
      <c r="K43" s="17">
        <f>янв!K43+фев!K43+мар!K43</f>
        <v/>
      </c>
      <c r="L43" s="36">
        <f>янв!L43+фев!L43+мар!L43</f>
        <v/>
      </c>
    </row>
    <row r="44">
      <c r="A44" s="67" t="n"/>
      <c r="B44" s="9" t="inlineStr">
        <is>
          <t>пени</t>
        </is>
      </c>
      <c r="C44" s="17">
        <f>янв!C44+фев!C44+мар!C44</f>
        <v/>
      </c>
      <c r="D44" s="17">
        <f>янв!D44+фев!D44+мар!D44</f>
        <v/>
      </c>
      <c r="E44" s="17">
        <f>янв!E44+фев!E44+мар!E44</f>
        <v/>
      </c>
      <c r="F44" s="17">
        <f>янв!F44+фев!F44+мар!F44</f>
        <v/>
      </c>
      <c r="G44" s="17">
        <f>янв!G44+фев!G44+мар!G44</f>
        <v/>
      </c>
      <c r="H44" s="17">
        <f>янв!H44+фев!H44+мар!H44</f>
        <v/>
      </c>
      <c r="I44" s="17">
        <f>янв!I44+фев!I44+мар!I44</f>
        <v/>
      </c>
      <c r="J44" s="17">
        <f>янв!J44+фев!J44+мар!J44</f>
        <v/>
      </c>
      <c r="K44" s="17">
        <f>янв!K44+фев!K44+мар!K44</f>
        <v/>
      </c>
      <c r="L44" s="36">
        <f>янв!L44+фев!L44+мар!L44</f>
        <v/>
      </c>
    </row>
    <row r="45">
      <c r="A45" s="68" t="n"/>
      <c r="B45" s="15" t="inlineStr">
        <is>
          <t>г/п</t>
        </is>
      </c>
      <c r="C45" s="17">
        <f>янв!C45+фев!C45+мар!C45</f>
        <v/>
      </c>
      <c r="D45" s="17">
        <f>янв!D45+фев!D45+мар!D45</f>
        <v/>
      </c>
      <c r="E45" s="17">
        <f>янв!E45+фев!E45+мар!E45</f>
        <v/>
      </c>
      <c r="F45" s="17">
        <f>янв!F45+фев!F45+мар!F45</f>
        <v/>
      </c>
      <c r="G45" s="17">
        <f>янв!G45+фев!G45+мар!G45</f>
        <v/>
      </c>
      <c r="H45" s="17">
        <f>янв!H45+фев!H45+мар!H45</f>
        <v/>
      </c>
      <c r="I45" s="17">
        <f>янв!I45+фев!I45+мар!I45</f>
        <v/>
      </c>
      <c r="J45" s="17">
        <f>янв!J45+фев!J45+мар!J45</f>
        <v/>
      </c>
      <c r="K45" s="17">
        <f>янв!K45+фев!K45+мар!K45</f>
        <v/>
      </c>
      <c r="L45" s="36">
        <f>янв!L45+фев!L45+мар!L45</f>
        <v/>
      </c>
    </row>
    <row r="46" ht="25.5" customHeight="1">
      <c r="A46" s="34" t="inlineStr">
        <is>
          <t xml:space="preserve">Возвращено ден. ср. через ССП (сумма) </t>
        </is>
      </c>
      <c r="B46" s="35" t="inlineStr">
        <is>
          <t>Итого</t>
        </is>
      </c>
      <c r="C46" s="17">
        <f>янв!C46+фев!C46+мар!C46</f>
        <v/>
      </c>
      <c r="D46" s="17">
        <f>янв!D46+фев!D46+мар!D46</f>
        <v/>
      </c>
      <c r="E46" s="17">
        <f>янв!E46+фев!E46+мар!E46</f>
        <v/>
      </c>
      <c r="F46" s="17">
        <f>янв!F46+фев!F46+мар!F46</f>
        <v/>
      </c>
      <c r="G46" s="17">
        <f>янв!G46+фев!G46+мар!G46</f>
        <v/>
      </c>
      <c r="H46" s="17">
        <f>янв!H46+фев!H46+мар!H46</f>
        <v/>
      </c>
      <c r="I46" s="17">
        <f>янв!I46+фев!I46+мар!I46</f>
        <v/>
      </c>
      <c r="J46" s="17">
        <f>янв!J46+фев!J46+мар!J46</f>
        <v/>
      </c>
      <c r="K46" s="17">
        <f>янв!K46+фев!K46+мар!K46</f>
        <v/>
      </c>
      <c r="L46" s="36">
        <f>янв!L46+фев!L46+мар!L46</f>
        <v/>
      </c>
    </row>
    <row r="47">
      <c r="A47" s="34" t="inlineStr">
        <is>
          <t>Итого возвращено</t>
        </is>
      </c>
      <c r="B47" s="35" t="inlineStr">
        <is>
          <t>сумма</t>
        </is>
      </c>
      <c r="C47" s="17">
        <f>янв!C47+фев!C47+мар!C47</f>
        <v/>
      </c>
      <c r="D47" s="17">
        <f>янв!D47+фев!D47+мар!D47</f>
        <v/>
      </c>
      <c r="E47" s="17">
        <f>янв!E47+фев!E47+мар!E47</f>
        <v/>
      </c>
      <c r="F47" s="17">
        <f>янв!F47+фев!F47+мар!F47</f>
        <v/>
      </c>
      <c r="G47" s="17">
        <f>янв!G47+фев!G47+мар!G47</f>
        <v/>
      </c>
      <c r="H47" s="17">
        <f>янв!H47+фев!H47+мар!H47</f>
        <v/>
      </c>
      <c r="I47" s="17">
        <f>янв!I47+фев!I47+мар!I47</f>
        <v/>
      </c>
      <c r="J47" s="17">
        <f>янв!J47+фев!J47+мар!J47</f>
        <v/>
      </c>
      <c r="K47" s="17">
        <f>янв!K47+фев!K47+мар!K47</f>
        <v/>
      </c>
      <c r="L47" s="36">
        <f>янв!L47+фев!L47+мар!L47</f>
        <v/>
      </c>
    </row>
  </sheetData>
  <mergeCells count="11">
    <mergeCell ref="A32:A35"/>
    <mergeCell ref="A36:A39"/>
    <mergeCell ref="A27:A28"/>
    <mergeCell ref="A7:A10"/>
    <mergeCell ref="A42:A45"/>
    <mergeCell ref="A29:A30"/>
    <mergeCell ref="A3:A6"/>
    <mergeCell ref="A19:A21"/>
    <mergeCell ref="A11:A14"/>
    <mergeCell ref="A15:A18"/>
    <mergeCell ref="A22:A25"/>
  </mergeCells>
  <pageMargins left="0.7007874015748032" right="0.7007874015748032" top="0.7519685039370078" bottom="0.7519685039370078" header="0.3" footer="0.3"/>
  <pageSetup orientation="landscape" paperSize="9" scale="65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2026-04-30T07:12:31Z</dcterms:created>
  <dcterms:modified xsi:type="dcterms:W3CDTF">2026-04-30T07:12:32Z</dcterms:modified>
  <cp:lastModifiedBy>Петров Вадим Викторович</cp:lastModifiedBy>
  <cp:revision>4</cp:revision>
</cp:coreProperties>
</file>